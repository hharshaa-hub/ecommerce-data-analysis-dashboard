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DELL5480\Downloads\"/>
    </mc:Choice>
  </mc:AlternateContent>
  <xr:revisionPtr revIDLastSave="0" documentId="13_ncr:1_{6BC8AE4B-D010-488C-BF69-0821E74B9B85}" xr6:coauthVersionLast="47" xr6:coauthVersionMax="47" xr10:uidLastSave="{00000000-0000-0000-0000-000000000000}"/>
  <bookViews>
    <workbookView xWindow="4240" yWindow="5220" windowWidth="14400" windowHeight="7270" xr2:uid="{346724B3-1C49-40AE-AA36-C77CF5D6DD09}"/>
  </bookViews>
  <sheets>
    <sheet name="Sheet1" sheetId="5" r:id="rId1"/>
    <sheet name="Data" sheetId="1" r:id="rId2"/>
    <sheet name="Questions &amp; KPIs" sheetId="2" r:id="rId3"/>
    <sheet name="Dashboard" sheetId="3" r:id="rId4"/>
  </sheets>
  <definedNames>
    <definedName name="_xlchart.v5.0" hidden="1">Sheet1!$O$77:$P$77</definedName>
    <definedName name="_xlchart.v5.1" hidden="1">Sheet1!$O$78:$P$135</definedName>
    <definedName name="_xlchart.v5.10" hidden="1">Sheet1!$Q$77</definedName>
    <definedName name="_xlchart.v5.11" hidden="1">Sheet1!$Q$78:$Q$135</definedName>
    <definedName name="_xlchart.v5.12" hidden="1">Sheet1!$I$77:$J$77</definedName>
    <definedName name="_xlchart.v5.13" hidden="1">Sheet1!$I$78:$J$135</definedName>
    <definedName name="_xlchart.v5.14" hidden="1">Sheet1!$K$77</definedName>
    <definedName name="_xlchart.v5.15" hidden="1">Sheet1!$K$78:$K$135</definedName>
    <definedName name="_xlchart.v5.2" hidden="1">Sheet1!$Q$77</definedName>
    <definedName name="_xlchart.v5.3" hidden="1">Sheet1!$Q$78:$Q$135</definedName>
    <definedName name="_xlchart.v5.4" hidden="1">Sheet1!$I$77:$J$77</definedName>
    <definedName name="_xlchart.v5.5" hidden="1">Sheet1!$I$78:$J$135</definedName>
    <definedName name="_xlchart.v5.6" hidden="1">Sheet1!$K$77</definedName>
    <definedName name="_xlchart.v5.7" hidden="1">Sheet1!$K$78:$K$135</definedName>
    <definedName name="_xlchart.v5.8" hidden="1">Sheet1!$O$77:$P$77</definedName>
    <definedName name="_xlchart.v5.9" hidden="1">Sheet1!$O$78:$P$135</definedName>
    <definedName name="Slicer_Gender_Value">#N/A</definedName>
    <definedName name="Slicer_Order_Mode">#N/A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79" i="5" l="1"/>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78"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78" i="5"/>
  <c r="I135" i="5"/>
  <c r="J135" i="5"/>
  <c r="I79" i="5"/>
  <c r="J79" i="5"/>
  <c r="I80" i="5"/>
  <c r="J80" i="5"/>
  <c r="I81" i="5"/>
  <c r="J81" i="5"/>
  <c r="I82" i="5"/>
  <c r="J82" i="5"/>
  <c r="I83" i="5"/>
  <c r="J83" i="5"/>
  <c r="I84" i="5"/>
  <c r="J84" i="5"/>
  <c r="I85" i="5"/>
  <c r="J85" i="5"/>
  <c r="I86" i="5"/>
  <c r="J86" i="5"/>
  <c r="I87" i="5"/>
  <c r="J87" i="5"/>
  <c r="I88" i="5"/>
  <c r="J88" i="5"/>
  <c r="I89" i="5"/>
  <c r="J89" i="5"/>
  <c r="I90" i="5"/>
  <c r="J90" i="5"/>
  <c r="I91" i="5"/>
  <c r="J91" i="5"/>
  <c r="I92" i="5"/>
  <c r="J92" i="5"/>
  <c r="I93" i="5"/>
  <c r="J93" i="5"/>
  <c r="I94" i="5"/>
  <c r="J94" i="5"/>
  <c r="I95" i="5"/>
  <c r="J95" i="5"/>
  <c r="I96" i="5"/>
  <c r="J96" i="5"/>
  <c r="I97" i="5"/>
  <c r="J97" i="5"/>
  <c r="I98" i="5"/>
  <c r="J98" i="5"/>
  <c r="I99" i="5"/>
  <c r="J99" i="5"/>
  <c r="I100" i="5"/>
  <c r="J100" i="5"/>
  <c r="I101" i="5"/>
  <c r="J101" i="5"/>
  <c r="I102" i="5"/>
  <c r="J102" i="5"/>
  <c r="I103" i="5"/>
  <c r="J103" i="5"/>
  <c r="I104" i="5"/>
  <c r="J104" i="5"/>
  <c r="I105" i="5"/>
  <c r="J105" i="5"/>
  <c r="I106" i="5"/>
  <c r="J106" i="5"/>
  <c r="I107" i="5"/>
  <c r="J107" i="5"/>
  <c r="I108" i="5"/>
  <c r="J108" i="5"/>
  <c r="I109" i="5"/>
  <c r="J109" i="5"/>
  <c r="I110" i="5"/>
  <c r="J110" i="5"/>
  <c r="I111" i="5"/>
  <c r="J111" i="5"/>
  <c r="I112" i="5"/>
  <c r="J112" i="5"/>
  <c r="I113" i="5"/>
  <c r="J113" i="5"/>
  <c r="I114" i="5"/>
  <c r="J114" i="5"/>
  <c r="I115" i="5"/>
  <c r="J115" i="5"/>
  <c r="I116" i="5"/>
  <c r="J116" i="5"/>
  <c r="I117" i="5"/>
  <c r="J117" i="5"/>
  <c r="I118" i="5"/>
  <c r="J118" i="5"/>
  <c r="I119" i="5"/>
  <c r="J119" i="5"/>
  <c r="I120" i="5"/>
  <c r="J120" i="5"/>
  <c r="I121" i="5"/>
  <c r="J121" i="5"/>
  <c r="I122" i="5"/>
  <c r="J122" i="5"/>
  <c r="I123" i="5"/>
  <c r="J123" i="5"/>
  <c r="I124" i="5"/>
  <c r="J124" i="5"/>
  <c r="I125" i="5"/>
  <c r="J125" i="5"/>
  <c r="I126" i="5"/>
  <c r="J126" i="5"/>
  <c r="I127" i="5"/>
  <c r="J127" i="5"/>
  <c r="I128" i="5"/>
  <c r="J128" i="5"/>
  <c r="I129" i="5"/>
  <c r="J129" i="5"/>
  <c r="I130" i="5"/>
  <c r="J130" i="5"/>
  <c r="I131" i="5"/>
  <c r="J131" i="5"/>
  <c r="I132" i="5"/>
  <c r="J132" i="5"/>
  <c r="I133" i="5"/>
  <c r="J133" i="5"/>
  <c r="I134" i="5"/>
  <c r="J134" i="5"/>
  <c r="J78" i="5"/>
  <c r="I78" i="5"/>
  <c r="P77" i="5"/>
  <c r="O77" i="5"/>
  <c r="J77" i="5"/>
  <c r="K77" i="5"/>
  <c r="I77" i="5"/>
  <c r="J27" i="5"/>
  <c r="K27" i="5"/>
  <c r="L27" i="5"/>
  <c r="M27" i="5"/>
  <c r="J28" i="5"/>
  <c r="K28" i="5"/>
  <c r="L28" i="5"/>
  <c r="M28" i="5"/>
  <c r="J29" i="5"/>
  <c r="K29" i="5"/>
  <c r="L29" i="5"/>
  <c r="M29" i="5"/>
  <c r="J30" i="5"/>
  <c r="K30" i="5"/>
  <c r="L30" i="5"/>
  <c r="M30" i="5"/>
  <c r="J31" i="5"/>
  <c r="K31" i="5"/>
  <c r="L31" i="5"/>
  <c r="M31" i="5"/>
  <c r="J32" i="5"/>
  <c r="K32" i="5"/>
  <c r="L32" i="5"/>
  <c r="M32" i="5"/>
  <c r="I29" i="5"/>
  <c r="I30" i="5"/>
  <c r="I31" i="5"/>
  <c r="I32" i="5"/>
  <c r="I28" i="5"/>
  <c r="K5" i="5"/>
  <c r="L5" i="5"/>
  <c r="J5" i="5"/>
  <c r="I5" i="5"/>
  <c r="H5"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<sst xmlns="http://schemas.openxmlformats.org/spreadsheetml/2006/main" count="14639" uniqueCount="2549">
  <si>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</si>
  <si>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</si>
  <si>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</si>
  <si>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</si>
  <si>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</si>
  <si>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</si>
  <si>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</si>
  <si>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</si>
  <si>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</si>
  <si>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</si>
  <si>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</si>
  <si>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</si>
  <si>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</si>
  <si>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</si>
  <si>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</si>
  <si>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</si>
  <si>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</si>
  <si>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</si>
  <si>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</si>
  <si>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</si>
  <si>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</si>
  <si>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</si>
  <si>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</si>
  <si>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</si>
  <si>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</si>
  <si>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</si>
  <si>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</si>
  <si>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</si>
  <si>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</si>
  <si>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</si>
  <si>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</si>
  <si>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</si>
  <si>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</si>
  <si>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</si>
  <si>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</si>
  <si>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</si>
  <si>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</si>
  <si>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</si>
  <si>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</si>
  <si>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</si>
  <si>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</si>
  <si>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</si>
  <si>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</si>
  <si>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</si>
  <si>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</si>
  <si>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</si>
  <si>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</si>
  <si>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</si>
  <si>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</si>
  <si>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</si>
  <si>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</si>
  <si>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</si>
  <si>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</si>
  <si>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</si>
  <si>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</si>
  <si>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</si>
  <si>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</si>
  <si>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</si>
  <si>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</si>
  <si>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</si>
  <si>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</si>
  <si>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</si>
  <si>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</si>
  <si>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</si>
  <si>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</si>
  <si>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</si>
  <si>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</si>
  <si>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</si>
  <si>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</si>
  <si>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</si>
  <si>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</si>
  <si>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</si>
  <si>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</si>
  <si>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</si>
  <si>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</si>
  <si>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</si>
  <si>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</si>
  <si>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</si>
  <si>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</si>
  <si>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</si>
  <si>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</si>
  <si>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</si>
  <si>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</si>
  <si>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</si>
  <si>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</si>
  <si>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</si>
  <si>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</si>
  <si>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</si>
  <si>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</si>
  <si>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</si>
  <si>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</si>
  <si>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</si>
  <si>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</si>
  <si>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</si>
  <si>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</si>
  <si>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</si>
  <si>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</si>
  <si>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</si>
  <si>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</si>
  <si>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</si>
  <si>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</si>
  <si>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</si>
  <si>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</si>
  <si>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</si>
  <si>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</si>
  <si>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</si>
  <si>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</si>
  <si>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</si>
  <si>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</si>
  <si>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</si>
  <si>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</si>
  <si>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</si>
  <si>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</si>
  <si>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</si>
  <si>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</si>
  <si>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</si>
  <si>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</si>
  <si>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</si>
  <si>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</si>
  <si>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</si>
  <si>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</si>
  <si>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</si>
  <si>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</si>
  <si>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</si>
  <si>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</si>
  <si>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</si>
  <si>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</si>
  <si>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</si>
  <si>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</si>
  <si>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</si>
  <si>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</si>
  <si>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</si>
  <si>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</si>
  <si>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</si>
  <si>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</si>
  <si>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</si>
  <si>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</si>
  <si>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</si>
  <si>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</si>
  <si>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</si>
  <si>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</si>
  <si>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</si>
  <si>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</si>
  <si>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</si>
  <si>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</si>
  <si>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</si>
  <si>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</si>
  <si>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</si>
  <si>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</si>
  <si>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</si>
  <si>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</si>
  <si>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</si>
  <si>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</si>
  <si>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</si>
  <si>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</si>
  <si>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</si>
  <si>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</si>
  <si>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</si>
  <si>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</si>
  <si>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</si>
  <si>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</si>
  <si>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</si>
  <si>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</si>
  <si>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</si>
  <si>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</si>
  <si>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</si>
  <si>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</si>
  <si>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</si>
  <si>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</si>
  <si>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</si>
  <si>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</si>
  <si>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</si>
  <si>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</si>
  <si>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</si>
  <si>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</si>
  <si>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</si>
  <si>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</si>
  <si>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</si>
  <si>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</si>
  <si>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</si>
  <si>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</si>
  <si>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</si>
  <si>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</si>
  <si>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</si>
  <si>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</si>
  <si>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</si>
  <si>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</si>
  <si>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</si>
  <si>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</si>
  <si>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</si>
  <si>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</si>
  <si>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</si>
  <si>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</si>
  <si>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</si>
  <si>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</si>
  <si>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</si>
  <si>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</si>
  <si>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</si>
  <si>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</si>
  <si>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</si>
  <si>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</si>
  <si>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</si>
  <si>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</si>
  <si>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</si>
  <si>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</si>
  <si>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</si>
  <si>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</si>
  <si>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</si>
  <si>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</si>
  <si>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</si>
  <si>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</si>
  <si>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</si>
  <si>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</si>
  <si>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</si>
  <si>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</si>
  <si>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</si>
  <si>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</si>
  <si>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</si>
  <si>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</si>
  <si>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</si>
  <si>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</si>
  <si>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</si>
  <si>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</si>
  <si>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</si>
  <si>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</si>
  <si>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</si>
  <si>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</si>
  <si>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</si>
  <si>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</si>
  <si>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</si>
  <si>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</si>
  <si>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</si>
  <si>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</si>
  <si>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</si>
  <si>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</si>
  <si>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</si>
  <si>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</si>
  <si>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</si>
  <si>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</si>
  <si>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</si>
  <si>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</si>
  <si>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</si>
  <si>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</si>
  <si>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</si>
  <si>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</si>
  <si>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</si>
  <si>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</si>
  <si>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</si>
  <si>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</si>
  <si>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</si>
  <si>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</si>
  <si>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</si>
  <si>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</si>
  <si>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</si>
  <si>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</si>
  <si>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</si>
  <si>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</si>
  <si>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</si>
  <si>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</si>
  <si>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</si>
  <si>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</si>
  <si>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</si>
  <si>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</si>
  <si>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</si>
  <si>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</si>
  <si>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</si>
  <si>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</si>
  <si>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</si>
  <si>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</si>
  <si>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</si>
  <si>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</si>
  <si>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</si>
  <si>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</si>
  <si>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</si>
  <si>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</si>
  <si>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</si>
  <si>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</si>
  <si>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</si>
  <si>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</si>
  <si>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</si>
  <si>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</si>
  <si>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</si>
  <si>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</si>
  <si>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</si>
  <si>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</si>
  <si>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</si>
  <si>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</si>
  <si>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</si>
  <si>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</si>
  <si>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</si>
  <si>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</si>
  <si>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</si>
  <si>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</si>
  <si>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</si>
  <si>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</si>
  <si>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</si>
  <si>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</si>
  <si>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</si>
  <si>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</si>
  <si>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</si>
  <si>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</si>
  <si>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</si>
  <si>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</si>
  <si>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</si>
  <si>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</si>
  <si>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</si>
  <si>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</si>
  <si>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</si>
  <si>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</si>
  <si>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</si>
  <si>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</si>
  <si>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</si>
  <si>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</si>
  <si>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</si>
  <si>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</si>
  <si>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</si>
  <si>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</si>
  <si>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</si>
  <si>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</si>
  <si>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</si>
  <si>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</si>
  <si>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</si>
  <si>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</si>
  <si>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</si>
  <si>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</si>
  <si>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</si>
  <si>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</si>
  <si>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</si>
  <si>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</si>
  <si>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</si>
  <si>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</si>
  <si>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</si>
  <si>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</si>
  <si>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</si>
  <si>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</si>
  <si>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</si>
  <si>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</si>
  <si>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</si>
  <si>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</si>
  <si>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</si>
  <si>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</si>
  <si>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</si>
  <si>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</si>
  <si>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</si>
  <si>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</si>
  <si>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</si>
  <si>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</si>
  <si>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</si>
  <si>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</si>
  <si>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</si>
  <si>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</si>
  <si>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</si>
  <si>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</si>
  <si>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</si>
  <si>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</si>
  <si>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</si>
  <si>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</si>
  <si>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</si>
  <si>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</si>
  <si>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</si>
  <si>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</si>
  <si>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</si>
  <si>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</si>
  <si>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</si>
  <si>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</si>
  <si>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</si>
  <si>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</si>
  <si>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</si>
  <si>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</si>
  <si>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</si>
  <si>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</si>
  <si>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</si>
  <si>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</si>
  <si>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</si>
  <si>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</si>
  <si>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</si>
  <si>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</si>
  <si>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</si>
  <si>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</si>
  <si>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</si>
  <si>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</si>
  <si>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</si>
  <si>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</si>
  <si>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</si>
  <si>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</si>
  <si>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</si>
  <si>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</si>
  <si>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</si>
  <si>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</si>
  <si>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</si>
  <si>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</si>
  <si>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</si>
  <si>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</si>
  <si>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</si>
  <si>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</si>
  <si>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</si>
  <si>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</si>
  <si>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</si>
  <si>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</si>
  <si>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</si>
  <si>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</si>
  <si>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</si>
  <si>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</si>
  <si>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</si>
  <si>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</si>
  <si>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</si>
  <si>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</si>
  <si>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</si>
  <si>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</si>
  <si>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</si>
  <si>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</si>
  <si>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</si>
  <si>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</si>
  <si>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</si>
  <si>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</si>
  <si>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</si>
  <si>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</si>
  <si>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</si>
  <si>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</si>
  <si>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</si>
  <si>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</si>
  <si>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</si>
  <si>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</si>
  <si>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</si>
  <si>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</si>
  <si>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</si>
  <si>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</si>
  <si>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</si>
  <si>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</si>
  <si>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</si>
  <si>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</si>
  <si>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</si>
  <si>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</si>
  <si>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</si>
  <si>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</si>
  <si>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</si>
  <si>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</si>
  <si>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</si>
  <si>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</si>
  <si>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</si>
  <si>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</si>
  <si>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</si>
  <si>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</si>
  <si>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</si>
  <si>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</si>
  <si>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</si>
  <si>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</si>
  <si>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</si>
  <si>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</si>
  <si>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</si>
  <si>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</si>
  <si>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</si>
  <si>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</si>
  <si>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</si>
  <si>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</si>
  <si>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</si>
  <si>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</si>
  <si>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</si>
  <si>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</si>
  <si>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</si>
  <si>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</si>
  <si>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</si>
  <si>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</si>
  <si>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</si>
  <si>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</si>
  <si>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</si>
  <si>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</si>
  <si>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</si>
  <si>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</si>
  <si>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</si>
  <si>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</si>
  <si>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</si>
  <si>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</si>
  <si>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</si>
  <si>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</si>
  <si>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</si>
  <si>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</si>
  <si>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</si>
  <si>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</si>
  <si>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</si>
  <si>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</si>
  <si>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</si>
  <si>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</si>
  <si>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</si>
  <si>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</si>
  <si>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</si>
  <si>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</si>
  <si>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</si>
  <si>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</si>
  <si>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</si>
  <si>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</si>
  <si>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</si>
  <si>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</si>
  <si>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</si>
  <si>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</si>
  <si>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</si>
  <si>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</si>
  <si>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</si>
  <si>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</si>
  <si>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</si>
  <si>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</si>
  <si>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</si>
  <si>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</si>
  <si>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</si>
  <si>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</si>
  <si>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</si>
  <si>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</si>
  <si>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</si>
  <si>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</si>
  <si>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</si>
  <si>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</si>
  <si>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</si>
  <si>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</si>
  <si>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</si>
  <si>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</si>
  <si>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</si>
  <si>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</si>
  <si>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</si>
  <si>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</si>
  <si>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</si>
  <si>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</si>
  <si>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</si>
  <si>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</si>
  <si>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</si>
  <si>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</si>
  <si>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</si>
  <si>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</si>
  <si>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</si>
  <si>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</si>
  <si>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</si>
  <si>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</si>
  <si>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</si>
  <si>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</si>
  <si>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</si>
  <si>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</si>
  <si>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</si>
  <si>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</si>
  <si>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</si>
  <si>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</si>
  <si>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</si>
  <si>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</si>
  <si>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</si>
  <si>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</si>
  <si>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</si>
  <si>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</si>
  <si>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</si>
  <si>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</si>
  <si>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</si>
  <si>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</si>
  <si>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</si>
  <si>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</si>
  <si>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</si>
  <si>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</si>
  <si>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</si>
  <si>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</si>
  <si>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</si>
  <si>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</si>
  <si>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</si>
  <si>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</si>
  <si>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</si>
  <si>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</si>
  <si>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</si>
  <si>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</si>
  <si>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</si>
  <si>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</si>
  <si>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</si>
  <si>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</si>
  <si>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</si>
  <si>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</si>
  <si>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</si>
  <si>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</si>
  <si>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</si>
  <si>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</si>
  <si>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</si>
  <si>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</si>
  <si>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</si>
  <si>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</si>
  <si>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</si>
  <si>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</si>
  <si>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</si>
  <si>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</si>
  <si>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</si>
  <si>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</si>
  <si>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</si>
  <si>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</si>
  <si>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</si>
  <si>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</si>
  <si>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</si>
  <si>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</si>
  <si>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</si>
  <si>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</si>
  <si>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</si>
  <si>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</si>
  <si>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</si>
  <si>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</si>
  <si>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</si>
  <si>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</si>
  <si>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</si>
  <si>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</si>
  <si>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</si>
  <si>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</si>
  <si>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</si>
  <si>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</si>
  <si>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</si>
  <si>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</si>
  <si>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</si>
  <si>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</si>
  <si>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</si>
  <si>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</si>
  <si>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</si>
  <si>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</si>
  <si>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</si>
  <si>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</si>
  <si>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</si>
  <si>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</si>
  <si>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</si>
  <si>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</si>
  <si>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</si>
  <si>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</si>
  <si>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</si>
  <si>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</si>
  <si>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</si>
  <si>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</si>
  <si>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</si>
  <si>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</si>
  <si>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</si>
  <si>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</si>
  <si>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</si>
  <si>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</si>
  <si>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</si>
  <si>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</si>
  <si>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</si>
  <si>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</si>
  <si>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</si>
  <si>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</si>
  <si>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</si>
  <si>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</si>
  <si>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</si>
  <si>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</si>
  <si>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</si>
  <si>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</si>
  <si>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</si>
  <si>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</si>
  <si>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</si>
  <si>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</si>
  <si>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</si>
  <si>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</si>
  <si>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</si>
  <si>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</si>
  <si>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</si>
  <si>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</si>
  <si>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</si>
  <si>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</si>
  <si>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</si>
  <si>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</si>
  <si>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</si>
  <si>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</si>
  <si>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</si>
  <si>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</si>
  <si>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</si>
  <si>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</si>
  <si>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</si>
  <si>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</si>
  <si>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</si>
  <si>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</si>
  <si>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</si>
  <si>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</si>
  <si>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</si>
  <si>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</si>
  <si>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</si>
  <si>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</si>
  <si>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</si>
  <si>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</si>
  <si>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</si>
  <si>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</si>
  <si>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</si>
  <si>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</si>
  <si>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</si>
  <si>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</si>
  <si>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</si>
  <si>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</si>
  <si>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</si>
  <si>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</si>
  <si>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</si>
  <si>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</si>
  <si>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</si>
  <si>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</si>
  <si>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</si>
  <si>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</si>
  <si>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</si>
  <si>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</si>
  <si>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</si>
  <si>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</si>
  <si>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</si>
  <si>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</si>
  <si>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</si>
  <si>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</si>
  <si>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</si>
  <si>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</si>
  <si>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</si>
  <si>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</si>
  <si>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</si>
  <si>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</si>
  <si>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</si>
  <si>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</si>
  <si>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</si>
  <si>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</si>
  <si>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</si>
  <si>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</si>
  <si>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</si>
  <si>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</si>
  <si>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</si>
  <si>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</si>
  <si>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</si>
  <si>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</si>
  <si>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</si>
  <si>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</si>
  <si>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</si>
  <si>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</si>
  <si>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</si>
  <si>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</si>
  <si>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</si>
  <si>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</si>
  <si>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</si>
  <si>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</si>
  <si>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</si>
  <si>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</si>
  <si>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</si>
  <si>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</si>
  <si>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</si>
  <si>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</si>
  <si>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</si>
  <si>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</si>
  <si>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</si>
  <si>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</si>
  <si>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</si>
  <si>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</si>
  <si>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</si>
  <si>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</si>
  <si>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</si>
  <si>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</si>
  <si>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</si>
  <si>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</si>
  <si>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</si>
  <si>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</si>
  <si>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</si>
  <si>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</si>
  <si>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</si>
  <si>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</si>
  <si>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</si>
  <si>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</si>
  <si>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</si>
  <si>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</si>
  <si>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</si>
  <si>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</si>
  <si>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</si>
  <si>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</si>
  <si>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</si>
  <si>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</si>
  <si>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</si>
  <si>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</si>
  <si>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</si>
  <si>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</si>
  <si>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</si>
  <si>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</si>
  <si>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</si>
  <si>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</si>
  <si>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</si>
  <si>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</si>
  <si>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</si>
  <si>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</si>
  <si>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</si>
  <si>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</si>
  <si>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</si>
  <si>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</si>
  <si>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</si>
  <si>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</si>
  <si>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</si>
  <si>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</si>
  <si>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</si>
  <si>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</si>
  <si>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</si>
  <si>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</si>
  <si>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</si>
  <si>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</si>
  <si>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</si>
  <si>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</si>
  <si>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</si>
  <si>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</si>
  <si>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</si>
  <si>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</si>
  <si>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</si>
  <si>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</si>
  <si>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</si>
  <si>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</si>
  <si>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</si>
  <si>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</si>
  <si>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</si>
  <si>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</si>
  <si>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</si>
  <si>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</si>
  <si>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</si>
  <si>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</si>
  <si>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</si>
  <si>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</si>
  <si>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</si>
  <si>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</si>
  <si>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</si>
  <si>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</si>
  <si>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</si>
  <si>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</si>
  <si>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</si>
  <si>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</si>
  <si>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</si>
  <si>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</si>
  <si>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</si>
  <si>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</si>
  <si>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</si>
  <si>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</si>
  <si>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</si>
  <si>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</si>
  <si>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</si>
  <si>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</si>
  <si>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</si>
  <si>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</si>
  <si>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</si>
  <si>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</si>
  <si>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</si>
  <si>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</si>
  <si>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</si>
  <si>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</si>
  <si>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</si>
  <si>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</si>
  <si>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</si>
  <si>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</si>
  <si>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</si>
  <si>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</si>
  <si>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</si>
  <si>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</si>
  <si>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</si>
  <si>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</si>
  <si>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</si>
  <si>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</si>
  <si>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</si>
  <si>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</si>
  <si>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</si>
  <si>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</si>
  <si>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</si>
  <si>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</si>
  <si>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</si>
  <si>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</si>
  <si>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</si>
  <si>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</si>
  <si>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</si>
  <si>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</si>
  <si>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</si>
  <si>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</si>
  <si>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</si>
  <si>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</si>
  <si>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</si>
  <si>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</si>
  <si>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</si>
  <si>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</si>
  <si>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</si>
  <si>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</si>
  <si>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</si>
  <si>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</si>
  <si>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</si>
  <si>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</si>
  <si>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</si>
  <si>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</si>
  <si>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</si>
  <si>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</si>
  <si>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</si>
  <si>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</si>
  <si>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</si>
  <si>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</si>
  <si>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</si>
  <si>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</si>
  <si>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</si>
  <si>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</si>
  <si>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</si>
  <si>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</si>
  <si>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</si>
  <si>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</si>
  <si>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</si>
  <si>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</si>
  <si>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</si>
  <si>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</si>
  <si>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</si>
  <si>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</si>
  <si>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</si>
  <si>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</si>
  <si>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</si>
  <si>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</si>
  <si>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</si>
  <si>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</si>
  <si>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</si>
  <si>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</si>
  <si>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</si>
  <si>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</si>
  <si>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</si>
  <si>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</si>
  <si>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</si>
  <si>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</si>
  <si>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</si>
  <si>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</si>
  <si>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</si>
  <si>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</si>
  <si>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</si>
  <si>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</si>
  <si>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</si>
  <si>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</si>
  <si>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</si>
  <si>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</si>
  <si>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</si>
  <si>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</si>
  <si>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</si>
  <si>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</si>
  <si>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</si>
  <si>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</si>
  <si>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</si>
  <si>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</si>
  <si>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</si>
  <si>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</si>
  <si>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</si>
  <si>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</si>
  <si>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</si>
  <si>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</si>
  <si>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</si>
  <si>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</si>
  <si>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</si>
  <si>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</si>
  <si>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</si>
  <si>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</si>
  <si>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</si>
  <si>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</si>
  <si>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</si>
  <si>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</si>
  <si>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</si>
  <si>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</si>
  <si>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</si>
  <si>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</si>
  <si>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</si>
  <si>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</si>
  <si>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</si>
  <si>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</si>
  <si>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</si>
  <si>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</si>
  <si>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</si>
  <si>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</si>
  <si>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</si>
  <si>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</si>
  <si>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</si>
  <si>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</si>
  <si>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</si>
  <si>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</si>
  <si>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</si>
  <si>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</si>
  <si>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</si>
  <si>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</si>
  <si>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</si>
  <si>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</si>
  <si>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</si>
  <si>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</si>
  <si>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</si>
  <si>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</si>
  <si>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</si>
  <si>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</si>
  <si>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</si>
  <si>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</si>
  <si>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</si>
  <si>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</si>
  <si>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</si>
  <si>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</si>
  <si>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</si>
  <si>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</si>
  <si>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</si>
  <si>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</si>
  <si>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</si>
  <si>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</si>
  <si>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</si>
  <si>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</si>
  <si>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</si>
  <si>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</si>
  <si>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</si>
  <si>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</si>
  <si>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</si>
  <si>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</si>
  <si>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</si>
  <si>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</si>
  <si>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</si>
  <si>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</si>
  <si>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</si>
  <si>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</si>
  <si>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</si>
  <si>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</si>
  <si>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</si>
  <si>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</si>
  <si>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</si>
  <si>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</si>
  <si>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</si>
  <si>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</si>
  <si>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</si>
  <si>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</si>
  <si>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</si>
  <si>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</si>
  <si>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</si>
  <si>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</si>
  <si>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</si>
  <si>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</si>
  <si>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</si>
  <si>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</si>
  <si>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</si>
  <si>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</si>
  <si>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</si>
  <si>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</si>
  <si>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</si>
  <si>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</si>
  <si>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</si>
  <si>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</si>
  <si>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</si>
  <si>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</si>
  <si>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</si>
  <si>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</si>
  <si>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</si>
  <si>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</si>
  <si>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</si>
  <si>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</si>
  <si>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</si>
  <si>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</si>
  <si>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</si>
  <si>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</si>
  <si>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</si>
  <si>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</si>
  <si>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</si>
  <si>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</si>
  <si>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</si>
  <si>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</si>
  <si>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</si>
  <si>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</si>
  <si>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</si>
  <si>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</si>
  <si>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</si>
  <si>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</si>
  <si>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</si>
  <si>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</si>
  <si>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</si>
  <si>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</si>
  <si>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</si>
  <si>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</si>
  <si>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</si>
  <si>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</si>
  <si>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</si>
  <si>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</si>
  <si>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</si>
  <si>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</si>
  <si>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</si>
  <si>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</si>
  <si>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</si>
  <si>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</si>
  <si>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</si>
  <si>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</si>
  <si>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</si>
  <si>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</si>
  <si>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</si>
  <si>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</si>
  <si>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</si>
  <si>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</si>
  <si>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</si>
  <si>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</si>
  <si>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</si>
  <si>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</si>
  <si>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</si>
  <si>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</si>
  <si>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</si>
  <si>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</si>
  <si>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</si>
  <si>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</si>
  <si>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</si>
  <si>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</si>
  <si>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</si>
  <si>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</si>
  <si>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</si>
  <si>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</si>
  <si>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</si>
  <si>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</si>
  <si>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</si>
  <si>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</si>
  <si>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</si>
  <si>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</si>
  <si>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</si>
  <si>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</si>
  <si>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</si>
  <si>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</si>
  <si>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</si>
  <si>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</si>
  <si>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</si>
  <si>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</si>
  <si>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</si>
  <si>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</si>
  <si>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</si>
  <si>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</si>
  <si>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</si>
  <si>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</si>
  <si>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</si>
  <si>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</si>
  <si>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</si>
  <si>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</si>
  <si>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</si>
  <si>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</si>
  <si>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</si>
  <si>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</si>
  <si>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</si>
  <si>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</si>
  <si>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</si>
  <si>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</si>
  <si>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</si>
  <si>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</si>
  <si>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</si>
  <si>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</si>
  <si>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</si>
  <si>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</si>
  <si>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</si>
  <si>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</si>
  <si>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</si>
  <si>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</si>
  <si>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</si>
  <si>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</si>
  <si>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</si>
  <si>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</si>
  <si>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</si>
  <si>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</si>
  <si>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</si>
  <si>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</si>
  <si>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</si>
  <si>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</si>
  <si>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</si>
  <si>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</si>
  <si>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</si>
  <si>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</si>
  <si>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</si>
  <si>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</si>
  <si>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</si>
  <si>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</si>
  <si>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</si>
  <si>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</si>
  <si>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</si>
  <si>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</si>
  <si>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</si>
  <si>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</si>
  <si>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</si>
  <si>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</si>
  <si>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</si>
  <si>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</si>
  <si>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</si>
  <si>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</si>
  <si>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</si>
  <si>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</si>
  <si>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</si>
  <si>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</si>
  <si>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</si>
  <si>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</si>
  <si>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</si>
  <si>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</si>
  <si>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</si>
  <si>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</si>
  <si>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</si>
  <si>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</si>
  <si>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</si>
  <si>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</si>
  <si>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</si>
  <si>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</si>
  <si>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</si>
  <si>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</si>
  <si>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</si>
  <si>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</si>
  <si>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</si>
  <si>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</si>
  <si>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</si>
  <si>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</si>
  <si>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</si>
  <si>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</si>
  <si>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</si>
  <si>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</si>
  <si>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</si>
  <si>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</si>
  <si>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</si>
  <si>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</si>
  <si>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</si>
  <si>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</si>
  <si>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</si>
  <si>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</si>
  <si>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</si>
  <si>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</si>
  <si>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</si>
  <si>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</si>
  <si>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</si>
  <si>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</si>
  <si>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</si>
  <si>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</si>
  <si>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</si>
  <si>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</si>
  <si>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</si>
  <si>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</si>
  <si>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</si>
  <si>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</si>
  <si>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</si>
  <si>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</si>
  <si>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</si>
  <si>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</si>
  <si>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</si>
  <si>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</si>
  <si>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</si>
  <si>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</si>
  <si>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</si>
  <si>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</si>
  <si>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</si>
  <si>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</si>
  <si>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</si>
  <si>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</si>
  <si>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</si>
  <si>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</si>
  <si>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</si>
  <si>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</si>
  <si>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</si>
  <si>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</si>
  <si>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</si>
  <si>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</si>
  <si>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</si>
  <si>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</si>
  <si>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</si>
  <si>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</si>
  <si>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</si>
  <si>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</si>
  <si>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</si>
  <si>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</si>
  <si>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</si>
  <si>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</si>
  <si>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</si>
  <si>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</si>
  <si>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</si>
  <si>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</si>
  <si>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</si>
  <si>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</si>
  <si>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</si>
  <si>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</si>
  <si>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</si>
  <si>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</si>
  <si>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</si>
  <si>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</si>
  <si>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</si>
  <si>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</si>
  <si>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</si>
  <si>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</si>
  <si>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</si>
  <si>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</si>
  <si>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</si>
  <si>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</si>
  <si>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</si>
  <si>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</si>
  <si>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</si>
  <si>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</si>
  <si>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</si>
  <si>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</si>
  <si>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</si>
  <si>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</si>
  <si>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</si>
  <si>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</si>
  <si>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</si>
  <si>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</si>
  <si>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</si>
  <si>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</si>
  <si>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</si>
  <si>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</si>
  <si>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</si>
  <si>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</si>
  <si>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</si>
  <si>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</si>
  <si>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</si>
  <si>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</si>
  <si>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</si>
  <si>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</si>
  <si>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</si>
  <si>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</si>
  <si>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</si>
  <si>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</si>
  <si>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</si>
  <si>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</si>
  <si>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</si>
  <si>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</si>
  <si>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</si>
  <si>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</si>
  <si>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</si>
  <si>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</si>
  <si>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</si>
  <si>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</si>
  <si>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</si>
  <si>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</si>
  <si>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</si>
  <si>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</si>
  <si>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</si>
  <si>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</si>
  <si>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</si>
  <si>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</si>
  <si>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</si>
  <si>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</si>
  <si>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</si>
  <si>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</si>
  <si>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</si>
  <si>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</si>
  <si>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</si>
  <si>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</si>
  <si>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</si>
  <si>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</si>
  <si>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</si>
  <si>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</si>
  <si>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</si>
  <si>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</si>
  <si>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</si>
  <si>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</si>
  <si>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</si>
  <si>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</si>
  <si>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</si>
  <si>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</si>
  <si>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</si>
  <si>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</si>
  <si>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</si>
  <si>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</si>
  <si>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</si>
  <si>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</si>
  <si>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</si>
  <si>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</si>
  <si>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</si>
  <si>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</si>
  <si>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</si>
  <si>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</si>
  <si>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</si>
  <si>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</si>
  <si>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</si>
  <si>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</si>
  <si>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</si>
  <si>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</si>
  <si>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</si>
  <si>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</si>
  <si>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</si>
  <si>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</si>
  <si>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</si>
  <si>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</si>
  <si>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</si>
  <si>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</si>
  <si>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</si>
  <si>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</si>
  <si>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</si>
  <si>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</si>
  <si>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</si>
  <si>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</si>
  <si>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</si>
  <si>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</si>
  <si>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</si>
  <si>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</si>
  <si>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</si>
  <si>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</si>
  <si>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</si>
  <si>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</si>
  <si>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</si>
  <si>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</si>
  <si>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</si>
  <si>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</si>
  <si>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</si>
  <si>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</si>
  <si>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</si>
  <si>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</si>
  <si>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</si>
  <si>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</si>
  <si>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</si>
  <si>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</si>
  <si>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</si>
  <si>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</si>
  <si>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</si>
  <si>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</si>
  <si>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</si>
  <si>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</si>
  <si>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</si>
  <si>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</si>
  <si>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</si>
  <si>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</si>
  <si>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</si>
  <si>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</si>
  <si>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</si>
  <si>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</si>
  <si>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</si>
  <si>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</si>
  <si>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</si>
  <si>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</si>
  <si>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</si>
  <si>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</si>
  <si>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</si>
  <si>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</si>
  <si>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</si>
  <si>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</si>
  <si>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</si>
  <si>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</si>
  <si>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</si>
  <si>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</si>
  <si>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</si>
  <si>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</si>
  <si>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</si>
  <si>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</si>
  <si>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</si>
  <si>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</si>
  <si>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</si>
  <si>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</si>
  <si>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</si>
  <si>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</si>
  <si>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</si>
  <si>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</si>
  <si>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</si>
  <si>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</si>
  <si>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</si>
  <si>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</si>
  <si>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</si>
  <si>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</si>
  <si>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</si>
  <si>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</si>
  <si>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</si>
  <si>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</si>
  <si>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</si>
  <si>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</si>
  <si>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</si>
  <si>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</si>
  <si>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</si>
  <si>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</si>
  <si>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</si>
  <si>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</si>
  <si>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</si>
  <si>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</si>
  <si>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</si>
  <si>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</si>
  <si>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</si>
  <si>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</si>
  <si>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</si>
  <si>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</si>
  <si>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</si>
  <si>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</si>
  <si>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</si>
  <si>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</si>
  <si>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</si>
  <si>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</si>
  <si>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</si>
  <si>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</si>
  <si>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</si>
  <si>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</si>
  <si>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</si>
  <si>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</si>
  <si>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</si>
  <si>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</si>
  <si>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</si>
  <si>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</si>
  <si>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</si>
  <si>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</si>
  <si>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</si>
  <si>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</si>
  <si>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</si>
  <si>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</si>
  <si>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</si>
  <si>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</si>
  <si>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</si>
  <si>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</si>
  <si>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</si>
  <si>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</si>
  <si>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</si>
  <si>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</si>
  <si>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</si>
  <si>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</si>
  <si>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</si>
  <si>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</si>
  <si>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</si>
  <si>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</si>
  <si>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</si>
  <si>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</si>
  <si>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</si>
  <si>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</si>
  <si>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</si>
  <si>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</si>
  <si>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</si>
  <si>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</si>
  <si>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</si>
  <si>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</si>
  <si>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</si>
  <si>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</si>
  <si>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</si>
  <si>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</si>
  <si>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</si>
  <si>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</si>
  <si>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</si>
  <si>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</si>
  <si>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</si>
  <si>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</si>
  <si>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</si>
  <si>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</si>
  <si>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</si>
  <si>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</si>
  <si>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</si>
  <si>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</si>
  <si>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</si>
  <si>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</si>
  <si>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</si>
  <si>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</si>
  <si>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</si>
  <si>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</si>
  <si>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</si>
  <si>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</si>
  <si>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</si>
  <si>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</si>
  <si>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</si>
  <si>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</si>
  <si>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</si>
  <si>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</si>
  <si>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</si>
  <si>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</si>
  <si>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</si>
  <si>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</si>
  <si>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</si>
  <si>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</si>
  <si>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</si>
  <si>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</si>
  <si>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</si>
  <si>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</si>
  <si>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</si>
  <si>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</si>
  <si>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</si>
  <si>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</si>
  <si>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</si>
  <si>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</si>
  <si>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</si>
  <si>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</si>
  <si>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</si>
  <si>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</si>
  <si>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</si>
  <si>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</si>
  <si>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</si>
  <si>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</si>
  <si>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</si>
  <si>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</si>
  <si>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</si>
  <si>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</si>
  <si>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</si>
  <si>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</si>
  <si>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</si>
  <si>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</si>
  <si>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</si>
  <si>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</si>
  <si>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</si>
  <si>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</si>
  <si>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</si>
  <si>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</si>
  <si>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</si>
  <si>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</si>
  <si>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</si>
  <si>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</si>
  <si>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</si>
  <si>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</si>
  <si>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</si>
  <si>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</si>
  <si>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</si>
  <si>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</si>
  <si>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</si>
  <si>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</si>
  <si>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</si>
  <si>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</si>
  <si>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</si>
  <si>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</si>
  <si>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</si>
  <si>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</si>
  <si>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</si>
  <si>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</si>
  <si>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</si>
  <si>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</si>
  <si>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</si>
  <si>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</si>
  <si>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</si>
  <si>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</si>
  <si>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</si>
  <si>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</si>
  <si>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</si>
  <si>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</si>
  <si>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</si>
  <si>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</si>
  <si>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</si>
  <si>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</si>
  <si>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</si>
  <si>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</si>
  <si>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</si>
  <si>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</si>
  <si>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</si>
  <si>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</si>
  <si>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</si>
  <si>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</si>
  <si>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</si>
  <si>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</si>
  <si>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</si>
  <si>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</si>
  <si>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</si>
  <si>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</si>
  <si>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</si>
  <si>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</si>
  <si>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</si>
  <si>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</si>
  <si>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</si>
  <si>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</si>
  <si>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</si>
  <si>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</si>
  <si>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</si>
  <si>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</si>
  <si>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</si>
  <si>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</si>
  <si>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</si>
  <si>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</si>
  <si>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</si>
  <si>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</si>
  <si>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</si>
  <si>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</si>
  <si>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</si>
  <si>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</si>
  <si>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</si>
  <si>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</si>
  <si>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</si>
  <si>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</si>
  <si>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</si>
  <si>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</si>
  <si>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</si>
  <si>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</si>
  <si>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</si>
  <si>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</si>
  <si>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</si>
  <si>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</si>
  <si>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</si>
  <si>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</si>
  <si>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</si>
  <si>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</si>
  <si>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</si>
  <si>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</si>
  <si>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</si>
  <si>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</si>
  <si>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</si>
  <si>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</si>
  <si>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</si>
  <si>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</si>
  <si>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</si>
  <si>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</si>
  <si>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</si>
  <si>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</si>
  <si>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</si>
  <si>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</si>
  <si>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</si>
  <si>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</si>
  <si>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</si>
  <si>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</si>
  <si>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</si>
  <si>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</si>
  <si>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</si>
  <si>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</si>
  <si>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</si>
  <si>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</si>
  <si>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</si>
  <si>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</si>
  <si>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</si>
  <si>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</si>
  <si>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</si>
  <si>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</si>
  <si>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</si>
  <si>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</si>
  <si>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</si>
  <si>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</si>
  <si>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</si>
  <si>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</si>
  <si>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</si>
  <si>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</si>
  <si>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</si>
  <si>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</si>
  <si>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</si>
  <si>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</si>
  <si>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</si>
  <si>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</si>
  <si>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</si>
  <si>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</si>
  <si>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</si>
  <si>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</si>
  <si>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</si>
  <si>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</si>
  <si>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</si>
  <si>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</si>
  <si>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</si>
  <si>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</si>
  <si>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</si>
  <si>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</si>
  <si>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</si>
  <si>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</si>
  <si>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</si>
  <si>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</si>
  <si>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</si>
  <si>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</si>
  <si>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</si>
  <si>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</si>
  <si>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</si>
  <si>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</si>
  <si>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</si>
  <si>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</si>
  <si>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</si>
  <si>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</si>
  <si>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</si>
  <si>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</si>
  <si>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</si>
  <si>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</si>
  <si>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</si>
  <si>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</si>
  <si>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</si>
  <si>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</si>
  <si>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</si>
  <si>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</si>
  <si>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</si>
  <si>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</si>
  <si>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</si>
  <si>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</si>
  <si>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</si>
  <si>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</si>
  <si>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</si>
  <si>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</si>
  <si>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</si>
  <si>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</si>
  <si>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</si>
  <si>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</si>
  <si>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</si>
  <si>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</si>
  <si>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</si>
  <si>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</si>
  <si>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</si>
  <si>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</si>
  <si>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</si>
  <si>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</si>
  <si>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</si>
  <si>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</si>
  <si>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</si>
  <si>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</si>
  <si>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</si>
  <si>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</si>
  <si>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</si>
  <si>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</si>
  <si>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</si>
  <si>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</si>
  <si>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</si>
  <si>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</si>
  <si>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</si>
  <si>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</si>
  <si>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</si>
  <si>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</si>
  <si>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</si>
  <si>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</si>
  <si>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</si>
  <si>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</si>
  <si>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</si>
  <si>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</si>
  <si>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</si>
  <si>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</si>
  <si>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</si>
  <si>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</si>
  <si>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</si>
  <si>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</si>
  <si>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</si>
  <si>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</si>
  <si>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</si>
  <si>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</si>
  <si>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</si>
  <si>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</si>
  <si>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</si>
  <si>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</si>
  <si>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</si>
  <si>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</si>
  <si>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</si>
  <si>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</si>
  <si>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</si>
  <si>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</si>
  <si>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</si>
  <si>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</si>
  <si>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</si>
  <si>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</si>
  <si>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</si>
  <si>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</si>
  <si>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</si>
  <si>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</si>
  <si>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</si>
  <si>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</si>
  <si>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</si>
  <si>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</si>
  <si>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</si>
  <si>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</si>
  <si>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</si>
  <si>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</si>
  <si>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</si>
  <si>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</si>
  <si>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</si>
  <si>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</si>
  <si>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</si>
  <si>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</si>
  <si>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</si>
  <si>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</si>
  <si>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</si>
  <si>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</si>
  <si>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</si>
  <si>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</si>
  <si>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</si>
  <si>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</si>
  <si>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</si>
  <si>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</si>
  <si>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</si>
  <si>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</si>
  <si>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</si>
  <si>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</si>
  <si>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</si>
  <si>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</si>
  <si>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</si>
  <si>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</si>
  <si>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</si>
  <si>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</si>
  <si>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</si>
  <si>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</si>
  <si>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</si>
  <si>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</si>
  <si>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</si>
  <si>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</si>
  <si>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</si>
  <si>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</si>
  <si>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</si>
  <si>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</si>
  <si>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</si>
  <si>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</si>
  <si>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</si>
  <si>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</si>
  <si>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</si>
  <si>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</si>
  <si>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</si>
  <si>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</si>
  <si>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</si>
  <si>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</si>
  <si>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</si>
  <si>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</si>
  <si>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</si>
  <si>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</si>
  <si>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</si>
  <si>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</si>
  <si>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</si>
  <si>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</si>
  <si>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</si>
  <si>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</si>
  <si>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</si>
  <si>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</si>
  <si>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</si>
  <si>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</si>
  <si>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</si>
  <si>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</si>
  <si>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</si>
  <si>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</si>
  <si>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</si>
  <si>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</si>
  <si>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</si>
  <si>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</si>
  <si>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</si>
  <si>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</si>
  <si>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</si>
  <si>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</si>
  <si>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</si>
  <si>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</si>
  <si>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</si>
  <si>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</si>
  <si>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</si>
  <si>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</si>
  <si>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</si>
  <si>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</si>
  <si>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</si>
  <si>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</si>
  <si>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</si>
  <si>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</si>
  <si>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</si>
  <si>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</si>
  <si>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</si>
  <si>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</si>
  <si>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</si>
  <si>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</si>
  <si>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</si>
  <si>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</si>
  <si>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</si>
  <si>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</si>
  <si>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</si>
  <si>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</si>
  <si>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</si>
  <si>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</si>
  <si>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</si>
  <si>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</si>
  <si>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</si>
  <si>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</si>
  <si>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</si>
  <si>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</si>
  <si>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</si>
  <si>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</si>
  <si>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</si>
  <si>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</si>
  <si>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</si>
  <si>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</si>
  <si>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</si>
  <si>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</si>
  <si>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</si>
  <si>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</si>
  <si>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</si>
  <si>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</si>
  <si>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</si>
  <si>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</si>
  <si>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</si>
  <si>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</si>
  <si>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</si>
  <si>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</si>
  <si>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</si>
  <si>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</si>
  <si>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</si>
  <si>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</si>
  <si>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</si>
  <si>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</si>
  <si>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</si>
  <si>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</si>
  <si>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</si>
  <si>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</si>
  <si>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</si>
  <si>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</si>
  <si>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</si>
  <si>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</si>
  <si>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</si>
  <si>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</si>
  <si>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</si>
  <si>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</si>
  <si>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</si>
  <si>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</si>
  <si>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</si>
  <si>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</si>
  <si>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</si>
  <si>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</si>
  <si>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</si>
  <si>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</si>
  <si>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</si>
  <si>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</si>
  <si>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</si>
  <si>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</si>
  <si>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</si>
  <si>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</si>
  <si>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</si>
  <si>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</si>
  <si>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</si>
  <si>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</si>
  <si>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</si>
  <si>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</si>
  <si>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</si>
  <si>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</si>
  <si>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</si>
  <si>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</si>
  <si>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</si>
  <si>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</si>
  <si>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</si>
  <si>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</si>
  <si>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</si>
  <si>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</si>
  <si>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</si>
  <si>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</si>
  <si>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</si>
  <si>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</si>
  <si>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</si>
  <si>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</si>
  <si>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</si>
  <si>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</si>
  <si>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</si>
  <si>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</si>
  <si>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</si>
  <si>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</si>
  <si>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</si>
  <si>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</si>
  <si>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</si>
  <si>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</si>
  <si>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</si>
  <si>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</si>
  <si>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</si>
  <si>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</si>
  <si>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</si>
  <si>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</si>
  <si>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</si>
  <si>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</si>
  <si>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</si>
  <si>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</si>
  <si>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</si>
  <si>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</si>
  <si>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</si>
  <si>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</si>
  <si>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</si>
  <si>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</si>
  <si>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</si>
  <si>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</si>
  <si>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</si>
  <si>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</si>
  <si>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</si>
  <si>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</si>
  <si>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</si>
  <si>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</si>
  <si>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</si>
  <si>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</si>
  <si>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</si>
  <si>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</si>
  <si>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</si>
  <si>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</si>
  <si>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</si>
  <si>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</si>
  <si>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</si>
  <si>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</si>
  <si>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</si>
  <si>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</si>
  <si>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</si>
  <si>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</si>
  <si>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</si>
  <si>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</si>
  <si>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</si>
  <si>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</si>
  <si>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</si>
  <si>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</si>
  <si>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</si>
  <si>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</si>
  <si>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</si>
  <si>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</si>
  <si>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</si>
  <si>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</si>
  <si>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</si>
  <si>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</si>
  <si>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</si>
  <si>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</si>
  <si>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</si>
  <si>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</si>
  <si>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</si>
  <si>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</si>
  <si>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</si>
  <si>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</si>
  <si>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</si>
  <si>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</si>
  <si>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</si>
  <si>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</si>
  <si>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</si>
  <si>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</si>
  <si>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</si>
  <si>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</si>
  <si>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</si>
  <si>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</si>
  <si>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</si>
  <si>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</si>
  <si>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</si>
  <si>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</si>
  <si>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</si>
  <si>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</si>
  <si>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</si>
  <si>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</si>
  <si>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</si>
  <si>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</si>
  <si>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</si>
  <si>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</si>
  <si>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</si>
  <si>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</si>
  <si>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</si>
  <si>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</si>
  <si>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</si>
  <si>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</si>
  <si>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</si>
  <si>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</si>
  <si>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</si>
  <si>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</si>
  <si>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</si>
  <si>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</si>
  <si>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</si>
  <si>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</si>
  <si>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</si>
  <si>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</si>
  <si>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</si>
  <si>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</si>
  <si>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</si>
  <si>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</si>
  <si>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</si>
  <si>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</si>
  <si>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</si>
  <si>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</si>
  <si>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</si>
  <si>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</si>
  <si>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</si>
  <si>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</si>
  <si>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</si>
  <si>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</si>
  <si>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</si>
  <si>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</si>
  <si>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</si>
  <si>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</si>
  <si>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</si>
  <si>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</si>
  <si>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</si>
  <si>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</si>
  <si>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</si>
  <si>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</si>
  <si>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</si>
  <si>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</si>
  <si>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</si>
  <si>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</si>
  <si>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</si>
  <si>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</si>
  <si>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</si>
  <si>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</si>
  <si>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</si>
  <si>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</si>
  <si>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</si>
  <si>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</si>
  <si>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</si>
  <si>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</si>
  <si>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</si>
  <si>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</si>
  <si>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</si>
  <si>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</si>
  <si>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</si>
  <si>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</si>
  <si>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</si>
  <si>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</si>
  <si>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</si>
  <si>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</si>
  <si>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</si>
  <si>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</si>
  <si>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</si>
  <si>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</si>
  <si>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</si>
  <si>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</si>
  <si>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</si>
  <si>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</si>
  <si>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</si>
  <si>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</si>
  <si>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</si>
  <si>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</si>
  <si>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</si>
  <si>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</si>
  <si>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</si>
  <si>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</si>
  <si>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</si>
  <si>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</si>
  <si>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</si>
  <si>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</si>
  <si>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</si>
  <si>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</si>
  <si>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</si>
  <si>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</si>
  <si>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</si>
  <si>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</si>
  <si>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</si>
  <si>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</si>
  <si>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</si>
  <si>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</si>
  <si>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</si>
  <si>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</si>
  <si>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</si>
  <si>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</si>
  <si>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</si>
  <si>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</si>
  <si>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</si>
  <si>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</si>
  <si>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</si>
  <si>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</si>
  <si>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</si>
  <si>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</si>
  <si>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</si>
  <si>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</si>
  <si>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</si>
  <si>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</si>
  <si>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</si>
  <si>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</si>
  <si>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</si>
  <si>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</si>
  <si>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</si>
  <si>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</si>
  <si>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</si>
  <si>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</si>
  <si>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</si>
  <si>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</si>
  <si>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</si>
  <si>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</si>
  <si>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</si>
  <si>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</si>
  <si>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</si>
  <si>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</si>
  <si>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</si>
  <si>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</si>
  <si>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</si>
  <si>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</si>
  <si>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</si>
  <si>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</si>
  <si>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</si>
  <si>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</si>
  <si>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</si>
  <si>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</si>
  <si>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</si>
  <si>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</si>
  <si>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</si>
  <si>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</si>
  <si>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</si>
  <si>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</si>
  <si>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</si>
  <si>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</si>
  <si>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</si>
  <si>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</si>
  <si>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</si>
  <si>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</si>
  <si>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</si>
  <si>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</si>
  <si>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</si>
  <si>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</si>
  <si>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</si>
  <si>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</si>
  <si>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</si>
  <si>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</si>
  <si>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</si>
  <si>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</si>
  <si>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</si>
  <si>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</si>
  <si>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</si>
  <si>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</si>
  <si>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</si>
  <si>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</si>
  <si>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</si>
  <si>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</si>
  <si>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</si>
  <si>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</si>
  <si>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</si>
  <si>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</si>
  <si>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</si>
  <si>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</si>
  <si>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</si>
  <si>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</si>
  <si>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</si>
  <si>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</si>
  <si>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</si>
  <si>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</si>
  <si>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</si>
  <si>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</si>
  <si>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</si>
  <si>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</si>
  <si>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</si>
  <si>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</si>
  <si>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</si>
  <si>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</si>
  <si>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</si>
  <si>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</si>
  <si>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</si>
  <si>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</si>
  <si>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</si>
  <si>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</si>
  <si>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</si>
  <si>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</si>
  <si>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</si>
  <si>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</si>
  <si>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</si>
  <si>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</si>
  <si>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</si>
  <si>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</si>
  <si>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</si>
  <si>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</si>
  <si>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</si>
  <si>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</si>
  <si>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</si>
  <si>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</si>
  <si>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</si>
  <si>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</si>
  <si>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</si>
  <si>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</si>
  <si>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</si>
  <si>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</si>
  <si>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</si>
  <si>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</si>
  <si>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</si>
  <si>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</si>
  <si>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</si>
  <si>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</si>
  <si>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</si>
  <si>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</si>
  <si>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</si>
  <si>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</si>
  <si>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</si>
  <si>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</si>
  <si>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</si>
  <si>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</si>
  <si>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</si>
  <si>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</si>
  <si>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</si>
  <si>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</si>
  <si>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</si>
  <si>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</si>
  <si>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</si>
  <si>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</si>
  <si>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</si>
  <si>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</si>
  <si>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</si>
  <si>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</si>
  <si>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</si>
  <si>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</si>
  <si>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</si>
  <si>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</si>
  <si>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</si>
  <si>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</si>
  <si>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</si>
  <si>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</si>
  <si>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</si>
  <si>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</si>
  <si>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</si>
  <si>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</si>
  <si>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</si>
  <si>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</si>
  <si>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</si>
  <si>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</si>
  <si>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</si>
  <si>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</si>
  <si>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</si>
  <si>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</si>
  <si>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</si>
  <si>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</si>
  <si>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</si>
  <si>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</si>
  <si>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</si>
  <si>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</si>
  <si>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</si>
  <si>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</si>
  <si>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</si>
  <si>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</si>
  <si>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</si>
  <si>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</si>
  <si>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</si>
  <si>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</si>
  <si>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</si>
  <si>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</si>
  <si>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</si>
  <si>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</si>
  <si>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</si>
  <si>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</si>
  <si>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</si>
  <si>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</si>
  <si>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</si>
  <si>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</si>
  <si>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</si>
  <si>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</si>
  <si>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</si>
  <si>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</si>
  <si>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</si>
  <si>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</si>
  <si>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</si>
  <si>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</si>
  <si>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</si>
  <si>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</si>
  <si>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</si>
  <si>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</si>
  <si>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</si>
  <si>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</si>
  <si>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</si>
  <si>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</si>
  <si>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</si>
  <si>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</si>
  <si>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</si>
  <si>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</si>
  <si>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</si>
  <si>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</si>
  <si>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</si>
  <si>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</si>
  <si>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</si>
  <si>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</si>
  <si>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</si>
  <si>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</si>
  <si>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</si>
  <si>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</si>
  <si>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</si>
  <si>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</si>
  <si>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</si>
  <si>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</si>
  <si>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</si>
  <si>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</si>
  <si>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</si>
  <si>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</si>
  <si>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</si>
  <si>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</si>
  <si>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</si>
  <si>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</si>
  <si>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</si>
  <si>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</si>
  <si>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</si>
  <si>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</si>
  <si>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</si>
  <si>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</si>
  <si>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</si>
  <si>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</si>
  <si>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</si>
  <si>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</si>
  <si>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</si>
  <si>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</si>
  <si>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</si>
  <si>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</si>
  <si>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</si>
  <si>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</si>
  <si>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</si>
  <si>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</si>
  <si>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</si>
  <si>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</si>
  <si>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</si>
  <si>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</si>
  <si>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</si>
  <si>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</si>
  <si>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</si>
  <si>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</si>
  <si>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</si>
  <si>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</si>
  <si>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</si>
  <si>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</si>
  <si>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</si>
  <si>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</si>
  <si>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</si>
  <si>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</si>
  <si>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</si>
  <si>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</si>
  <si>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</si>
  <si>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</si>
  <si>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</si>
  <si>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</si>
  <si>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</si>
  <si>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</si>
  <si>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</si>
  <si>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</si>
  <si>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</si>
  <si>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</si>
  <si>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</si>
  <si>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</si>
  <si>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</si>
  <si>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</si>
  <si>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</si>
  <si>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</si>
  <si>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</si>
  <si>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</si>
  <si>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</si>
  <si>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</si>
  <si>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</si>
  <si>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</si>
  <si>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</si>
  <si>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</si>
  <si>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</si>
  <si>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</si>
  <si>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</si>
  <si>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</si>
  <si>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</si>
  <si>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</si>
  <si>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</si>
  <si>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</si>
  <si>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</si>
  <si>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</si>
  <si>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</si>
  <si>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</si>
  <si>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</si>
  <si>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</si>
  <si>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</si>
  <si>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</si>
  <si>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</si>
  <si>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</si>
  <si>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</si>
  <si>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</si>
  <si>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</si>
  <si>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</si>
  <si>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</si>
  <si>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</si>
  <si>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</si>
  <si>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</si>
  <si>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</si>
  <si>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</si>
  <si>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</si>
  <si>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</si>
  <si>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</si>
  <si>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</si>
  <si>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</si>
  <si>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</si>
  <si>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</si>
  <si>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</si>
  <si>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</si>
  <si>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</si>
  <si>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</si>
  <si>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</si>
  <si>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</si>
  <si>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</si>
  <si>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</si>
  <si>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</si>
  <si>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</si>
  <si>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</si>
  <si>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</si>
  <si>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</si>
  <si>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</si>
  <si>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</si>
  <si>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</si>
  <si>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</si>
  <si>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</si>
  <si>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</si>
  <si>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</si>
  <si>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</si>
  <si>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</si>
  <si>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</si>
  <si>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</si>
  <si>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</si>
  <si>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</si>
  <si>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</si>
  <si>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</si>
  <si>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</si>
  <si>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</si>
  <si>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</si>
  <si>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</si>
  <si>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</si>
  <si>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Amount</t>
  </si>
  <si>
    <t>Sum of Quantity</t>
  </si>
  <si>
    <t>Average of Rating C</t>
  </si>
  <si>
    <t>Average of Days to Deliver</t>
  </si>
  <si>
    <t xml:space="preserve">Values for Display </t>
  </si>
  <si>
    <t xml:space="preserve">orders </t>
  </si>
  <si>
    <t>qty</t>
  </si>
  <si>
    <t xml:space="preserve">Avg rating </t>
  </si>
  <si>
    <t>avg Days</t>
  </si>
  <si>
    <t>Grand Total</t>
  </si>
  <si>
    <t>amount</t>
  </si>
  <si>
    <t>Row Labels</t>
  </si>
  <si>
    <t>Column Labels</t>
  </si>
  <si>
    <t>Female</t>
  </si>
  <si>
    <t>Male</t>
  </si>
  <si>
    <t>Other</t>
  </si>
  <si>
    <t>Unknown</t>
  </si>
  <si>
    <t>for matrix</t>
  </si>
  <si>
    <t xml:space="preserve">order qty analysis </t>
  </si>
  <si>
    <t>6-10</t>
  </si>
  <si>
    <t>more than 10</t>
  </si>
  <si>
    <t xml:space="preserve">prodcuts by qty </t>
  </si>
  <si>
    <t>map for quntity</t>
  </si>
  <si>
    <t>map for amount</t>
  </si>
  <si>
    <t>shipping duration analysis</t>
  </si>
  <si>
    <t>customer satasfaction analysis</t>
  </si>
  <si>
    <t>Jan</t>
  </si>
  <si>
    <t>Feb</t>
  </si>
  <si>
    <t>Mar</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</si>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</sst>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2" x14ac:knownFonts="1">
    <font>
      <sz val="11"/>
      <color theme="1"/>
      <name val="Century Gothic"/>
      <family val="2"/>
      <scheme val="minor"/>
    </font>
    <font>
      <b/>
      <sz val="11"/>
      <color theme="1"/>
      <name val="Century Gothic"/>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ck">
        <color theme="0"/>
      </left>
      <right style="thick">
        <color theme="0"/>
      </right>
      <top style="thick">
        <color theme="0"/>
      </top>
      <bottom style="thick">
        <color theme="0"/>
      </bottom>
      <diagonal/>
    </border>
  </borders>
  <cellStyleXfs count="1">
    <xf numFmtId="0" fontId="0" fillId="0" borderId="0"/>
  </cellStyleXfs>
  <cellXfs count="12">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Alignment="1">
      <alignment horizontal="left"/>
    </xf>
    <xf numFmtId="0" fontId="0" fillId="0" borderId="0" xfId="0" pivotButton="1"/>
    <xf numFmtId="164" fontId="0" fillId="0" borderId="0" xfId="0" applyNumberFormat="1"/>
    <xf numFmtId="10" fontId="0" fillId="0" borderId="0" xfId="0" applyNumberFormat="1"/>
    <xf numFmtId="0" fontId="0" fillId="0" borderId="1" xfId="0" applyBorder="1"/>
    <xf numFmtId="165" fontId="0" fillId="0" borderId="1" xfId="0" applyNumberFormat="1" applyBorder="1"/>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colors>
    <mruColors>
      <color rgb="FF4887E6"/>
      <color rgb="FFBF3939"/>
      <color rgb="FF0A80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[ecommerce-blank.xlsx]Sheet1!ship pvt</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Sheet1!$C$141</c:f>
              <c:strCache>
                <c:ptCount val="1"/>
                <c:pt idx="0">
                  <c:v>Total</c:v>
                </c:pt>
              </c:strCache>
            </c:strRef>
          </c:tx>
          <c:spPr>
            <a:solidFill>
              <a:schemeClr val="accent1"/>
            </a:solidFill>
            <a:ln>
              <a:noFill/>
            </a:ln>
            <a:effectLst/>
          </c:spPr>
          <c:invertIfNegative val="0"/>
          <c:cat>
            <c:strRef>
              <c:f>Sheet1!$B$142:$B$157</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Sheet1!$C$142:$C$157</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BD5F-4E3B-AE76-47FEA6C91C1F}"/>
            </c:ext>
          </c:extLst>
        </c:ser>
        <c:dLbls>
          <c:showLegendKey val="0"/>
          <c:showVal val="0"/>
          <c:showCatName val="0"/>
          <c:showSerName val="0"/>
          <c:showPercent val="0"/>
          <c:showBubbleSize val="0"/>
        </c:dLbls>
        <c:gapWidth val="219"/>
        <c:overlap val="-27"/>
        <c:axId val="722905192"/>
        <c:axId val="722906272"/>
      </c:barChart>
      <c:catAx>
        <c:axId val="722905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906272"/>
        <c:crosses val="autoZero"/>
        <c:auto val="1"/>
        <c:lblAlgn val="ctr"/>
        <c:lblOffset val="100"/>
        <c:noMultiLvlLbl val="0"/>
      </c:catAx>
      <c:valAx>
        <c:axId val="72290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905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Sheet1!$C$162:$C$163</c:f>
              <c:strCache>
                <c:ptCount val="1"/>
                <c:pt idx="0">
                  <c:v>1</c:v>
                </c:pt>
              </c:strCache>
            </c:strRef>
          </c:tx>
          <c:spPr>
            <a:solidFill>
              <a:schemeClr val="accent1"/>
            </a:solidFill>
            <a:ln>
              <a:noFill/>
            </a:ln>
            <a:effectLst/>
          </c:spPr>
          <c:invertIfNegative val="0"/>
          <c:cat>
            <c:strRef>
              <c:f>Sheet1!$B$164:$B$167</c:f>
              <c:strCache>
                <c:ptCount val="3"/>
                <c:pt idx="0">
                  <c:v>Jan</c:v>
                </c:pt>
                <c:pt idx="1">
                  <c:v>Feb</c:v>
                </c:pt>
                <c:pt idx="2">
                  <c:v>Mar</c:v>
                </c:pt>
              </c:strCache>
            </c:strRef>
          </c:cat>
          <c:val>
            <c:numRef>
              <c:f>Sheet1!$C$164:$C$167</c:f>
              <c:numCache>
                <c:formatCode>General</c:formatCode>
                <c:ptCount val="3"/>
                <c:pt idx="0">
                  <c:v>7</c:v>
                </c:pt>
                <c:pt idx="1">
                  <c:v>8</c:v>
                </c:pt>
                <c:pt idx="2">
                  <c:v>6</c:v>
                </c:pt>
              </c:numCache>
            </c:numRef>
          </c:val>
          <c:extLst>
            <c:ext xmlns:c16="http://schemas.microsoft.com/office/drawing/2014/chart" uri="{C3380CC4-5D6E-409C-BE32-E72D297353CC}">
              <c16:uniqueId val="{00000000-8C39-4FB2-8A65-AD3A9C5AC1AD}"/>
            </c:ext>
          </c:extLst>
        </c:ser>
        <c:ser>
          <c:idx val="1"/>
          <c:order val="1"/>
          <c:tx>
            <c:strRef>
              <c:f>Sheet1!$D$162:$D$163</c:f>
              <c:strCache>
                <c:ptCount val="1"/>
                <c:pt idx="0">
                  <c:v>2</c:v>
                </c:pt>
              </c:strCache>
            </c:strRef>
          </c:tx>
          <c:spPr>
            <a:solidFill>
              <a:schemeClr val="accent2"/>
            </a:solidFill>
            <a:ln>
              <a:noFill/>
            </a:ln>
            <a:effectLst/>
          </c:spPr>
          <c:invertIfNegative val="0"/>
          <c:cat>
            <c:strRef>
              <c:f>Sheet1!$B$164:$B$167</c:f>
              <c:strCache>
                <c:ptCount val="3"/>
                <c:pt idx="0">
                  <c:v>Jan</c:v>
                </c:pt>
                <c:pt idx="1">
                  <c:v>Feb</c:v>
                </c:pt>
                <c:pt idx="2">
                  <c:v>Mar</c:v>
                </c:pt>
              </c:strCache>
            </c:strRef>
          </c:cat>
          <c:val>
            <c:numRef>
              <c:f>Sheet1!$D$164:$D$167</c:f>
              <c:numCache>
                <c:formatCode>General</c:formatCode>
                <c:ptCount val="3"/>
                <c:pt idx="0">
                  <c:v>37</c:v>
                </c:pt>
                <c:pt idx="1">
                  <c:v>51</c:v>
                </c:pt>
                <c:pt idx="2">
                  <c:v>39</c:v>
                </c:pt>
              </c:numCache>
            </c:numRef>
          </c:val>
          <c:extLst>
            <c:ext xmlns:c16="http://schemas.microsoft.com/office/drawing/2014/chart" uri="{C3380CC4-5D6E-409C-BE32-E72D297353CC}">
              <c16:uniqueId val="{00000001-8C39-4FB2-8A65-AD3A9C5AC1AD}"/>
            </c:ext>
          </c:extLst>
        </c:ser>
        <c:ser>
          <c:idx val="2"/>
          <c:order val="2"/>
          <c:tx>
            <c:strRef>
              <c:f>Sheet1!$E$162:$E$163</c:f>
              <c:strCache>
                <c:ptCount val="1"/>
                <c:pt idx="0">
                  <c:v>3</c:v>
                </c:pt>
              </c:strCache>
            </c:strRef>
          </c:tx>
          <c:spPr>
            <a:solidFill>
              <a:schemeClr val="accent3"/>
            </a:solidFill>
            <a:ln>
              <a:noFill/>
            </a:ln>
            <a:effectLst/>
          </c:spPr>
          <c:invertIfNegative val="0"/>
          <c:cat>
            <c:strRef>
              <c:f>Sheet1!$B$164:$B$167</c:f>
              <c:strCache>
                <c:ptCount val="3"/>
                <c:pt idx="0">
                  <c:v>Jan</c:v>
                </c:pt>
                <c:pt idx="1">
                  <c:v>Feb</c:v>
                </c:pt>
                <c:pt idx="2">
                  <c:v>Mar</c:v>
                </c:pt>
              </c:strCache>
            </c:strRef>
          </c:cat>
          <c:val>
            <c:numRef>
              <c:f>Sheet1!$E$164:$E$167</c:f>
              <c:numCache>
                <c:formatCode>General</c:formatCode>
                <c:ptCount val="3"/>
                <c:pt idx="0">
                  <c:v>150</c:v>
                </c:pt>
                <c:pt idx="1">
                  <c:v>182</c:v>
                </c:pt>
                <c:pt idx="2">
                  <c:v>163</c:v>
                </c:pt>
              </c:numCache>
            </c:numRef>
          </c:val>
          <c:extLst>
            <c:ext xmlns:c16="http://schemas.microsoft.com/office/drawing/2014/chart" uri="{C3380CC4-5D6E-409C-BE32-E72D297353CC}">
              <c16:uniqueId val="{00000002-8C39-4FB2-8A65-AD3A9C5AC1AD}"/>
            </c:ext>
          </c:extLst>
        </c:ser>
        <c:ser>
          <c:idx val="3"/>
          <c:order val="3"/>
          <c:tx>
            <c:strRef>
              <c:f>Sheet1!$F$162:$F$163</c:f>
              <c:strCache>
                <c:ptCount val="1"/>
                <c:pt idx="0">
                  <c:v>4</c:v>
                </c:pt>
              </c:strCache>
            </c:strRef>
          </c:tx>
          <c:spPr>
            <a:solidFill>
              <a:schemeClr val="accent4"/>
            </a:solidFill>
            <a:ln>
              <a:noFill/>
            </a:ln>
            <a:effectLst/>
          </c:spPr>
          <c:invertIfNegative val="0"/>
          <c:cat>
            <c:strRef>
              <c:f>Sheet1!$B$164:$B$167</c:f>
              <c:strCache>
                <c:ptCount val="3"/>
                <c:pt idx="0">
                  <c:v>Jan</c:v>
                </c:pt>
                <c:pt idx="1">
                  <c:v>Feb</c:v>
                </c:pt>
                <c:pt idx="2">
                  <c:v>Mar</c:v>
                </c:pt>
              </c:strCache>
            </c:strRef>
          </c:cat>
          <c:val>
            <c:numRef>
              <c:f>Sheet1!$F$164:$F$167</c:f>
              <c:numCache>
                <c:formatCode>General</c:formatCode>
                <c:ptCount val="3"/>
                <c:pt idx="0">
                  <c:v>312</c:v>
                </c:pt>
                <c:pt idx="1">
                  <c:v>373</c:v>
                </c:pt>
                <c:pt idx="2">
                  <c:v>351</c:v>
                </c:pt>
              </c:numCache>
            </c:numRef>
          </c:val>
          <c:extLst>
            <c:ext xmlns:c16="http://schemas.microsoft.com/office/drawing/2014/chart" uri="{C3380CC4-5D6E-409C-BE32-E72D297353CC}">
              <c16:uniqueId val="{00000004-8C39-4FB2-8A65-AD3A9C5AC1AD}"/>
            </c:ext>
          </c:extLst>
        </c:ser>
        <c:ser>
          <c:idx val="4"/>
          <c:order val="4"/>
          <c:tx>
            <c:strRef>
              <c:f>Sheet1!$G$162:$G$163</c:f>
              <c:strCache>
                <c:ptCount val="1"/>
                <c:pt idx="0">
                  <c:v>5</c:v>
                </c:pt>
              </c:strCache>
            </c:strRef>
          </c:tx>
          <c:spPr>
            <a:solidFill>
              <a:schemeClr val="accent5"/>
            </a:solidFill>
            <a:ln>
              <a:noFill/>
            </a:ln>
            <a:effectLst/>
          </c:spPr>
          <c:invertIfNegative val="0"/>
          <c:cat>
            <c:strRef>
              <c:f>Sheet1!$B$164:$B$167</c:f>
              <c:strCache>
                <c:ptCount val="3"/>
                <c:pt idx="0">
                  <c:v>Jan</c:v>
                </c:pt>
                <c:pt idx="1">
                  <c:v>Feb</c:v>
                </c:pt>
                <c:pt idx="2">
                  <c:v>Mar</c:v>
                </c:pt>
              </c:strCache>
            </c:strRef>
          </c:cat>
          <c:val>
            <c:numRef>
              <c:f>Sheet1!$G$164:$G$167</c:f>
              <c:numCache>
                <c:formatCode>General</c:formatCode>
                <c:ptCount val="3"/>
                <c:pt idx="0">
                  <c:v>224</c:v>
                </c:pt>
                <c:pt idx="1">
                  <c:v>247</c:v>
                </c:pt>
                <c:pt idx="2">
                  <c:v>250</c:v>
                </c:pt>
              </c:numCache>
            </c:numRef>
          </c:val>
          <c:extLst>
            <c:ext xmlns:c16="http://schemas.microsoft.com/office/drawing/2014/chart" uri="{C3380CC4-5D6E-409C-BE32-E72D297353CC}">
              <c16:uniqueId val="{00000007-8C39-4FB2-8A65-AD3A9C5AC1AD}"/>
            </c:ext>
          </c:extLst>
        </c:ser>
        <c:dLbls>
          <c:showLegendKey val="0"/>
          <c:showVal val="0"/>
          <c:showCatName val="0"/>
          <c:showSerName val="0"/>
          <c:showPercent val="0"/>
          <c:showBubbleSize val="0"/>
        </c:dLbls>
        <c:gapWidth val="219"/>
        <c:overlap val="-27"/>
        <c:axId val="677785672"/>
        <c:axId val="677784592"/>
      </c:barChart>
      <c:catAx>
        <c:axId val="677785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84592"/>
        <c:crosses val="autoZero"/>
        <c:auto val="1"/>
        <c:lblAlgn val="ctr"/>
        <c:lblOffset val="100"/>
        <c:noMultiLvlLbl val="0"/>
      </c:catAx>
      <c:valAx>
        <c:axId val="67778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85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[ecommerce-blank.xlsx]Sheet1!trend 13w pvt</c:name>
    <c:fmtId val="3"/>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30626194525836"/>
          <c:y val="6.2606105213901669E-2"/>
          <c:w val="0.76899108441965991"/>
          <c:h val="0.83603646853028846"/>
        </c:manualLayout>
      </c:layout>
      <c:lineChart>
        <c:grouping val="standard"/>
        <c:varyColors val="0"/>
        <c:ser>
          <c:idx val="0"/>
          <c:order val="0"/>
          <c:tx>
            <c:strRef>
              <c:f>Sheet1!$C$9</c:f>
              <c:strCache>
                <c:ptCount val="1"/>
                <c:pt idx="0">
                  <c:v>Sum of Quantity</c:v>
                </c:pt>
              </c:strCache>
            </c:strRef>
          </c:tx>
          <c:spPr>
            <a:ln w="28575" cap="rnd">
              <a:solidFill>
                <a:schemeClr val="accent5">
                  <a:shade val="76000"/>
                </a:schemeClr>
              </a:solidFill>
              <a:round/>
            </a:ln>
            <a:effectLst/>
          </c:spPr>
          <c:marker>
            <c:symbol val="none"/>
          </c:marker>
          <c:cat>
            <c:strRef>
              <c:f>Sheet1!$B$10:$B$23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Sheet1!$C$10:$C$23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0651-4C86-A192-89B82DF5D97F}"/>
            </c:ext>
          </c:extLst>
        </c:ser>
        <c:dLbls>
          <c:showLegendKey val="0"/>
          <c:showVal val="0"/>
          <c:showCatName val="0"/>
          <c:showSerName val="0"/>
          <c:showPercent val="0"/>
          <c:showBubbleSize val="0"/>
        </c:dLbls>
        <c:marker val="1"/>
        <c:smooth val="0"/>
        <c:axId val="589986648"/>
        <c:axId val="589979088"/>
      </c:lineChart>
      <c:lineChart>
        <c:grouping val="standard"/>
        <c:varyColors val="0"/>
        <c:ser>
          <c:idx val="1"/>
          <c:order val="1"/>
          <c:tx>
            <c:strRef>
              <c:f>Sheet1!$D$9</c:f>
              <c:strCache>
                <c:ptCount val="1"/>
                <c:pt idx="0">
                  <c:v>Sum of Amount</c:v>
                </c:pt>
              </c:strCache>
            </c:strRef>
          </c:tx>
          <c:spPr>
            <a:ln w="28575" cap="rnd">
              <a:solidFill>
                <a:schemeClr val="accent5">
                  <a:tint val="77000"/>
                </a:schemeClr>
              </a:solidFill>
              <a:round/>
            </a:ln>
            <a:effectLst/>
          </c:spPr>
          <c:marker>
            <c:symbol val="none"/>
          </c:marker>
          <c:cat>
            <c:strRef>
              <c:f>Sheet1!$B$10:$B$23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Sheet1!$D$10:$D$23</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0651-4C86-A192-89B82DF5D97F}"/>
            </c:ext>
          </c:extLst>
        </c:ser>
        <c:dLbls>
          <c:showLegendKey val="0"/>
          <c:showVal val="0"/>
          <c:showCatName val="0"/>
          <c:showSerName val="0"/>
          <c:showPercent val="0"/>
          <c:showBubbleSize val="0"/>
        </c:dLbls>
        <c:marker val="1"/>
        <c:smooth val="0"/>
        <c:axId val="589878568"/>
        <c:axId val="589876048"/>
      </c:lineChart>
      <c:catAx>
        <c:axId val="589986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79088"/>
        <c:crosses val="autoZero"/>
        <c:auto val="1"/>
        <c:lblAlgn val="ctr"/>
        <c:lblOffset val="100"/>
        <c:noMultiLvlLbl val="0"/>
      </c:catAx>
      <c:valAx>
        <c:axId val="58997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86648"/>
        <c:crosses val="autoZero"/>
        <c:crossBetween val="between"/>
      </c:valAx>
      <c:valAx>
        <c:axId val="589876048"/>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878568"/>
        <c:crosses val="max"/>
        <c:crossBetween val="between"/>
      </c:valAx>
      <c:catAx>
        <c:axId val="589878568"/>
        <c:scaling>
          <c:orientation val="minMax"/>
        </c:scaling>
        <c:delete val="1"/>
        <c:axPos val="b"/>
        <c:numFmt formatCode="General" sourceLinked="1"/>
        <c:majorTickMark val="out"/>
        <c:minorTickMark val="none"/>
        <c:tickLblPos val="nextTo"/>
        <c:crossAx val="5898760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[ecommerce-blank.xlsx]Sheet1!order qty pvt</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Sheet1!$B$39:$B$46</c:f>
              <c:strCache>
                <c:ptCount val="7"/>
                <c:pt idx="0">
                  <c:v>1</c:v>
                </c:pt>
                <c:pt idx="1">
                  <c:v>2</c:v>
                </c:pt>
                <c:pt idx="2">
                  <c:v>3</c:v>
                </c:pt>
                <c:pt idx="3">
                  <c:v>4</c:v>
                </c:pt>
                <c:pt idx="4">
                  <c:v>5</c:v>
                </c:pt>
                <c:pt idx="5">
                  <c:v>6-10</c:v>
                </c:pt>
                <c:pt idx="6">
                  <c:v>more than 10</c:v>
                </c:pt>
              </c:strCache>
            </c:strRef>
          </c:cat>
          <c:val>
            <c:numRef>
              <c:f>Sheet1!$C$39:$C$46</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6A3D-4B6E-A5A0-606F971F7122}"/>
            </c:ext>
          </c:extLst>
        </c:ser>
        <c:dLbls>
          <c:dLblPos val="outEnd"/>
          <c:showLegendKey val="0"/>
          <c:showVal val="1"/>
          <c:showCatName val="0"/>
          <c:showSerName val="0"/>
          <c:showPercent val="0"/>
          <c:showBubbleSize val="0"/>
        </c:dLbls>
        <c:gapWidth val="5"/>
        <c:overlap val="-27"/>
        <c:axId val="580275360"/>
        <c:axId val="580274280"/>
      </c:barChart>
      <c:catAx>
        <c:axId val="58027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274280"/>
        <c:crosses val="autoZero"/>
        <c:auto val="1"/>
        <c:lblAlgn val="ctr"/>
        <c:lblOffset val="0"/>
        <c:noMultiLvlLbl val="0"/>
      </c:catAx>
      <c:valAx>
        <c:axId val="580274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27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[ecommerce-blank.xlsx]Sheet1!prod qty pvt</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58663961585761E-2"/>
          <c:y val="6.8780899655535604E-2"/>
          <c:w val="0.66227425564581199"/>
          <c:h val="0.89849217177490992"/>
        </c:manualLayout>
      </c:layout>
      <c:barChart>
        <c:barDir val="bar"/>
        <c:grouping val="stacked"/>
        <c:varyColors val="0"/>
        <c:ser>
          <c:idx val="0"/>
          <c:order val="0"/>
          <c:tx>
            <c:strRef>
              <c:f>Sheet1!$C$53:$C$54</c:f>
              <c:strCache>
                <c:ptCount val="1"/>
                <c:pt idx="0">
                  <c:v>Female</c:v>
                </c:pt>
              </c:strCache>
            </c:strRef>
          </c:tx>
          <c:spPr>
            <a:solidFill>
              <a:schemeClr val="accent1"/>
            </a:solidFill>
            <a:ln>
              <a:noFill/>
            </a:ln>
            <a:effectLst/>
          </c:spPr>
          <c:invertIfNegative val="0"/>
          <c:cat>
            <c:strRef>
              <c:f>Sheet1!$B$55:$B$75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Sheet1!$C$55:$C$75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399B-4D2B-BF26-FAEA37268BD5}"/>
            </c:ext>
          </c:extLst>
        </c:ser>
        <c:ser>
          <c:idx val="1"/>
          <c:order val="1"/>
          <c:tx>
            <c:strRef>
              <c:f>Sheet1!$D$53:$D$54</c:f>
              <c:strCache>
                <c:ptCount val="1"/>
                <c:pt idx="0">
                  <c:v>Male</c:v>
                </c:pt>
              </c:strCache>
            </c:strRef>
          </c:tx>
          <c:spPr>
            <a:solidFill>
              <a:schemeClr val="accent2"/>
            </a:solidFill>
            <a:ln>
              <a:noFill/>
            </a:ln>
            <a:effectLst/>
          </c:spPr>
          <c:invertIfNegative val="0"/>
          <c:cat>
            <c:strRef>
              <c:f>Sheet1!$B$55:$B$75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Sheet1!$D$55:$D$75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8-399B-4D2B-BF26-FAEA37268BD5}"/>
            </c:ext>
          </c:extLst>
        </c:ser>
        <c:ser>
          <c:idx val="2"/>
          <c:order val="2"/>
          <c:tx>
            <c:strRef>
              <c:f>Sheet1!$E$53:$E$54</c:f>
              <c:strCache>
                <c:ptCount val="1"/>
                <c:pt idx="0">
                  <c:v>Other</c:v>
                </c:pt>
              </c:strCache>
            </c:strRef>
          </c:tx>
          <c:spPr>
            <a:solidFill>
              <a:schemeClr val="accent3"/>
            </a:solidFill>
            <a:ln>
              <a:noFill/>
            </a:ln>
            <a:effectLst/>
          </c:spPr>
          <c:invertIfNegative val="0"/>
          <c:cat>
            <c:strRef>
              <c:f>Sheet1!$B$55:$B$75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Sheet1!$E$55:$E$75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9-399B-4D2B-BF26-FAEA37268BD5}"/>
            </c:ext>
          </c:extLst>
        </c:ser>
        <c:ser>
          <c:idx val="3"/>
          <c:order val="3"/>
          <c:tx>
            <c:strRef>
              <c:f>Sheet1!$F$53:$F$54</c:f>
              <c:strCache>
                <c:ptCount val="1"/>
                <c:pt idx="0">
                  <c:v>Unknown</c:v>
                </c:pt>
              </c:strCache>
            </c:strRef>
          </c:tx>
          <c:spPr>
            <a:solidFill>
              <a:schemeClr val="accent4"/>
            </a:solidFill>
            <a:ln>
              <a:noFill/>
            </a:ln>
            <a:effectLst/>
          </c:spPr>
          <c:invertIfNegative val="0"/>
          <c:cat>
            <c:strRef>
              <c:f>Sheet1!$B$55:$B$75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Sheet1!$F$55:$F$75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A-399B-4D2B-BF26-FAEA37268BD5}"/>
            </c:ext>
          </c:extLst>
        </c:ser>
        <c:dLbls>
          <c:showLegendKey val="0"/>
          <c:showVal val="0"/>
          <c:showCatName val="0"/>
          <c:showSerName val="0"/>
          <c:showPercent val="0"/>
          <c:showBubbleSize val="0"/>
        </c:dLbls>
        <c:gapWidth val="5"/>
        <c:overlap val="100"/>
        <c:axId val="653097432"/>
        <c:axId val="653096352"/>
      </c:barChart>
      <c:catAx>
        <c:axId val="653097432"/>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096352"/>
        <c:crosses val="autoZero"/>
        <c:auto val="1"/>
        <c:lblAlgn val="ctr"/>
        <c:lblOffset val="100"/>
        <c:noMultiLvlLbl val="0"/>
      </c:catAx>
      <c:valAx>
        <c:axId val="65309635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097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[ecommerce-blank.xlsx]Sheet1!PivotTable6</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0">
            <a:solidFill>
              <a:schemeClr val="lt1"/>
            </a:solidFill>
          </a:ln>
          <a:effectLst/>
        </c:spPr>
      </c:pivotFmt>
      <c:pivotFmt>
        <c:idx val="8"/>
        <c:spPr>
          <a:solidFill>
            <a:schemeClr val="accent1"/>
          </a:solidFill>
          <a:ln w="0">
            <a:solidFill>
              <a:schemeClr val="lt1"/>
            </a:solidFill>
          </a:ln>
          <a:effectLst/>
        </c:spPr>
      </c:pivotFmt>
      <c:pivotFmt>
        <c:idx val="9"/>
        <c:spPr>
          <a:solidFill>
            <a:schemeClr val="accent1"/>
          </a:solidFill>
          <a:ln w="0">
            <a:solidFill>
              <a:schemeClr val="lt1"/>
            </a:solidFill>
          </a:ln>
          <a:effectLst/>
        </c:spPr>
      </c:pivotFmt>
      <c:pivotFmt>
        <c:idx val="10"/>
        <c:spPr>
          <a:solidFill>
            <a:schemeClr val="accent1"/>
          </a:solidFill>
          <a:ln w="0">
            <a:solidFill>
              <a:schemeClr val="lt1"/>
            </a:solidFill>
          </a:ln>
          <a:effectLst/>
        </c:spPr>
      </c:pivotFmt>
    </c:pivotFmts>
    <c:plotArea>
      <c:layout/>
      <c:doughnutChart>
        <c:varyColors val="1"/>
        <c:ser>
          <c:idx val="0"/>
          <c:order val="0"/>
          <c:tx>
            <c:strRef>
              <c:f>Sheet1!$K$53</c:f>
              <c:strCache>
                <c:ptCount val="1"/>
                <c:pt idx="0">
                  <c:v>Total</c:v>
                </c:pt>
              </c:strCache>
            </c:strRef>
          </c:tx>
          <c:spPr>
            <a:ln w="0"/>
          </c:spPr>
          <c:dPt>
            <c:idx val="0"/>
            <c:bubble3D val="0"/>
            <c:spPr>
              <a:solidFill>
                <a:schemeClr val="accent1"/>
              </a:solidFill>
              <a:ln w="0">
                <a:solidFill>
                  <a:schemeClr val="lt1"/>
                </a:solidFill>
              </a:ln>
              <a:effectLst/>
            </c:spPr>
            <c:extLst>
              <c:ext xmlns:c16="http://schemas.microsoft.com/office/drawing/2014/chart" uri="{C3380CC4-5D6E-409C-BE32-E72D297353CC}">
                <c16:uniqueId val="{00000001-DA0C-46D3-ABD6-FABC89295279}"/>
              </c:ext>
            </c:extLst>
          </c:dPt>
          <c:dPt>
            <c:idx val="1"/>
            <c:bubble3D val="0"/>
            <c:spPr>
              <a:solidFill>
                <a:schemeClr val="accent2"/>
              </a:solidFill>
              <a:ln w="0">
                <a:solidFill>
                  <a:schemeClr val="lt1"/>
                </a:solidFill>
              </a:ln>
              <a:effectLst/>
            </c:spPr>
            <c:extLst>
              <c:ext xmlns:c16="http://schemas.microsoft.com/office/drawing/2014/chart" uri="{C3380CC4-5D6E-409C-BE32-E72D297353CC}">
                <c16:uniqueId val="{00000003-DA0C-46D3-ABD6-FABC89295279}"/>
              </c:ext>
            </c:extLst>
          </c:dPt>
          <c:dPt>
            <c:idx val="2"/>
            <c:bubble3D val="0"/>
            <c:spPr>
              <a:solidFill>
                <a:schemeClr val="accent3"/>
              </a:solidFill>
              <a:ln w="0">
                <a:solidFill>
                  <a:schemeClr val="lt1"/>
                </a:solidFill>
              </a:ln>
              <a:effectLst/>
            </c:spPr>
            <c:extLst>
              <c:ext xmlns:c16="http://schemas.microsoft.com/office/drawing/2014/chart" uri="{C3380CC4-5D6E-409C-BE32-E72D297353CC}">
                <c16:uniqueId val="{00000005-DA0C-46D3-ABD6-FABC89295279}"/>
              </c:ext>
            </c:extLst>
          </c:dPt>
          <c:dPt>
            <c:idx val="3"/>
            <c:bubble3D val="0"/>
            <c:spPr>
              <a:solidFill>
                <a:schemeClr val="accent4"/>
              </a:solidFill>
              <a:ln w="0">
                <a:solidFill>
                  <a:schemeClr val="lt1"/>
                </a:solidFill>
              </a:ln>
              <a:effectLst/>
            </c:spPr>
            <c:extLst>
              <c:ext xmlns:c16="http://schemas.microsoft.com/office/drawing/2014/chart" uri="{C3380CC4-5D6E-409C-BE32-E72D297353CC}">
                <c16:uniqueId val="{00000007-DA0C-46D3-ABD6-FABC89295279}"/>
              </c:ext>
            </c:extLst>
          </c:dPt>
          <c:cat>
            <c:strRef>
              <c:f>Sheet1!$J$54:$J$58</c:f>
              <c:strCache>
                <c:ptCount val="4"/>
                <c:pt idx="0">
                  <c:v>Female</c:v>
                </c:pt>
                <c:pt idx="1">
                  <c:v>Male</c:v>
                </c:pt>
                <c:pt idx="2">
                  <c:v>Other</c:v>
                </c:pt>
                <c:pt idx="3">
                  <c:v>Unknown</c:v>
                </c:pt>
              </c:strCache>
            </c:strRef>
          </c:cat>
          <c:val>
            <c:numRef>
              <c:f>Sheet1!$K$54:$K$58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DA0C-46D3-ABD6-FABC89295279}"/>
            </c:ext>
          </c:extLst>
        </c:ser>
        <c:dLbls>
          <c:showLegendKey val="0"/>
          <c:showVal val="0"/>
          <c:showCatName val="0"/>
          <c:showSerName val="0"/>
          <c:showPercent val="0"/>
          <c:showBubbleSize val="0"/>
          <c:showLeaderLines val="1"/>
        </c:dLbls>
        <c:firstSliceAng val="180"/>
        <c:holeSize val="32"/>
      </c:doughnutChart>
      <c:spPr>
        <a:noFill/>
        <a:ln>
          <a:noFill/>
        </a:ln>
        <a:effectLst/>
      </c:spPr>
    </c:plotArea>
    <c:legend>
      <c:legendPos val="r"/>
      <c:layout>
        <c:manualLayout>
          <c:xMode val="edge"/>
          <c:yMode val="edge"/>
          <c:x val="0.58944956297686457"/>
          <c:y val="0.36214271847311857"/>
          <c:w val="0.39339108064762385"/>
          <c:h val="0.567174204939953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[ecommerce-blank.xlsx]Sheet1!ship pvt</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635823946642989E-2"/>
          <c:y val="0.20281389620677745"/>
          <c:w val="0.87858389171665441"/>
          <c:h val="0.66233245518670258"/>
        </c:manualLayout>
      </c:layout>
      <c:barChart>
        <c:barDir val="col"/>
        <c:grouping val="clustered"/>
        <c:varyColors val="0"/>
        <c:ser>
          <c:idx val="0"/>
          <c:order val="0"/>
          <c:tx>
            <c:strRef>
              <c:f>Sheet1!$C$141</c:f>
              <c:strCache>
                <c:ptCount val="1"/>
                <c:pt idx="0">
                  <c:v>Total</c:v>
                </c:pt>
              </c:strCache>
            </c:strRef>
          </c:tx>
          <c:spPr>
            <a:solidFill>
              <a:schemeClr val="accent1"/>
            </a:solidFill>
            <a:ln>
              <a:noFill/>
            </a:ln>
            <a:effectLst/>
          </c:spPr>
          <c:invertIfNegative val="0"/>
          <c:cat>
            <c:strRef>
              <c:f>Sheet1!$B$142:$B$157</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Sheet1!$C$142:$C$157</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7B7E-4A53-9D40-22118C85AD36}"/>
            </c:ext>
          </c:extLst>
        </c:ser>
        <c:dLbls>
          <c:showLegendKey val="0"/>
          <c:showVal val="0"/>
          <c:showCatName val="0"/>
          <c:showSerName val="0"/>
          <c:showPercent val="0"/>
          <c:showBubbleSize val="0"/>
        </c:dLbls>
        <c:gapWidth val="5"/>
        <c:overlap val="-57"/>
        <c:axId val="722905192"/>
        <c:axId val="722906272"/>
      </c:barChart>
      <c:catAx>
        <c:axId val="722905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906272"/>
        <c:crosses val="autoZero"/>
        <c:auto val="1"/>
        <c:lblAlgn val="ctr"/>
        <c:lblOffset val="100"/>
        <c:noMultiLvlLbl val="0"/>
      </c:catAx>
      <c:valAx>
        <c:axId val="72290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905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[ecommerce-blank.xlsx]Sheet1!PivotTable9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174360454575572E-2"/>
          <c:y val="3.2407407407407406E-2"/>
          <c:w val="0.78496076365901801"/>
          <c:h val="0.84204505686789155"/>
        </c:manualLayout>
      </c:layout>
      <c:barChart>
        <c:barDir val="col"/>
        <c:grouping val="clustered"/>
        <c:varyColors val="0"/>
        <c:ser>
          <c:idx val="0"/>
          <c:order val="0"/>
          <c:tx>
            <c:strRef>
              <c:f>Sheet1!$C$162:$C$163</c:f>
              <c:strCache>
                <c:ptCount val="1"/>
                <c:pt idx="0">
                  <c:v>1</c:v>
                </c:pt>
              </c:strCache>
            </c:strRef>
          </c:tx>
          <c:spPr>
            <a:solidFill>
              <a:schemeClr val="accent1"/>
            </a:solidFill>
            <a:ln>
              <a:noFill/>
            </a:ln>
            <a:effectLst/>
          </c:spPr>
          <c:invertIfNegative val="0"/>
          <c:cat>
            <c:strRef>
              <c:f>Sheet1!$B$164:$B$167</c:f>
              <c:strCache>
                <c:ptCount val="3"/>
                <c:pt idx="0">
                  <c:v>Jan</c:v>
                </c:pt>
                <c:pt idx="1">
                  <c:v>Feb</c:v>
                </c:pt>
                <c:pt idx="2">
                  <c:v>Mar</c:v>
                </c:pt>
              </c:strCache>
            </c:strRef>
          </c:cat>
          <c:val>
            <c:numRef>
              <c:f>Sheet1!$C$164:$C$167</c:f>
              <c:numCache>
                <c:formatCode>General</c:formatCode>
                <c:ptCount val="3"/>
                <c:pt idx="0">
                  <c:v>7</c:v>
                </c:pt>
                <c:pt idx="1">
                  <c:v>8</c:v>
                </c:pt>
                <c:pt idx="2">
                  <c:v>6</c:v>
                </c:pt>
              </c:numCache>
            </c:numRef>
          </c:val>
          <c:extLst>
            <c:ext xmlns:c16="http://schemas.microsoft.com/office/drawing/2014/chart" uri="{C3380CC4-5D6E-409C-BE32-E72D297353CC}">
              <c16:uniqueId val="{00000000-857F-4117-8041-03F2C9CA7C95}"/>
            </c:ext>
          </c:extLst>
        </c:ser>
        <c:ser>
          <c:idx val="1"/>
          <c:order val="1"/>
          <c:tx>
            <c:strRef>
              <c:f>Sheet1!$D$162:$D$163</c:f>
              <c:strCache>
                <c:ptCount val="1"/>
                <c:pt idx="0">
                  <c:v>2</c:v>
                </c:pt>
              </c:strCache>
            </c:strRef>
          </c:tx>
          <c:spPr>
            <a:solidFill>
              <a:schemeClr val="accent2"/>
            </a:solidFill>
            <a:ln>
              <a:noFill/>
            </a:ln>
            <a:effectLst/>
          </c:spPr>
          <c:invertIfNegative val="0"/>
          <c:cat>
            <c:strRef>
              <c:f>Sheet1!$B$164:$B$167</c:f>
              <c:strCache>
                <c:ptCount val="3"/>
                <c:pt idx="0">
                  <c:v>Jan</c:v>
                </c:pt>
                <c:pt idx="1">
                  <c:v>Feb</c:v>
                </c:pt>
                <c:pt idx="2">
                  <c:v>Mar</c:v>
                </c:pt>
              </c:strCache>
            </c:strRef>
          </c:cat>
          <c:val>
            <c:numRef>
              <c:f>Sheet1!$D$164:$D$167</c:f>
              <c:numCache>
                <c:formatCode>General</c:formatCode>
                <c:ptCount val="3"/>
                <c:pt idx="0">
                  <c:v>37</c:v>
                </c:pt>
                <c:pt idx="1">
                  <c:v>51</c:v>
                </c:pt>
                <c:pt idx="2">
                  <c:v>39</c:v>
                </c:pt>
              </c:numCache>
            </c:numRef>
          </c:val>
          <c:extLst>
            <c:ext xmlns:c16="http://schemas.microsoft.com/office/drawing/2014/chart" uri="{C3380CC4-5D6E-409C-BE32-E72D297353CC}">
              <c16:uniqueId val="{00000001-857F-4117-8041-03F2C9CA7C95}"/>
            </c:ext>
          </c:extLst>
        </c:ser>
        <c:ser>
          <c:idx val="2"/>
          <c:order val="2"/>
          <c:tx>
            <c:strRef>
              <c:f>Sheet1!$E$162:$E$163</c:f>
              <c:strCache>
                <c:ptCount val="1"/>
                <c:pt idx="0">
                  <c:v>3</c:v>
                </c:pt>
              </c:strCache>
            </c:strRef>
          </c:tx>
          <c:spPr>
            <a:solidFill>
              <a:schemeClr val="accent3"/>
            </a:solidFill>
            <a:ln>
              <a:noFill/>
            </a:ln>
            <a:effectLst/>
          </c:spPr>
          <c:invertIfNegative val="0"/>
          <c:cat>
            <c:strRef>
              <c:f>Sheet1!$B$164:$B$167</c:f>
              <c:strCache>
                <c:ptCount val="3"/>
                <c:pt idx="0">
                  <c:v>Jan</c:v>
                </c:pt>
                <c:pt idx="1">
                  <c:v>Feb</c:v>
                </c:pt>
                <c:pt idx="2">
                  <c:v>Mar</c:v>
                </c:pt>
              </c:strCache>
            </c:strRef>
          </c:cat>
          <c:val>
            <c:numRef>
              <c:f>Sheet1!$E$164:$E$167</c:f>
              <c:numCache>
                <c:formatCode>General</c:formatCode>
                <c:ptCount val="3"/>
                <c:pt idx="0">
                  <c:v>150</c:v>
                </c:pt>
                <c:pt idx="1">
                  <c:v>182</c:v>
                </c:pt>
                <c:pt idx="2">
                  <c:v>163</c:v>
                </c:pt>
              </c:numCache>
            </c:numRef>
          </c:val>
          <c:extLst>
            <c:ext xmlns:c16="http://schemas.microsoft.com/office/drawing/2014/chart" uri="{C3380CC4-5D6E-409C-BE32-E72D297353CC}">
              <c16:uniqueId val="{00000002-857F-4117-8041-03F2C9CA7C95}"/>
            </c:ext>
          </c:extLst>
        </c:ser>
        <c:ser>
          <c:idx val="3"/>
          <c:order val="3"/>
          <c:tx>
            <c:strRef>
              <c:f>Sheet1!$F$162:$F$163</c:f>
              <c:strCache>
                <c:ptCount val="1"/>
                <c:pt idx="0">
                  <c:v>4</c:v>
                </c:pt>
              </c:strCache>
            </c:strRef>
          </c:tx>
          <c:spPr>
            <a:solidFill>
              <a:schemeClr val="accent4"/>
            </a:solidFill>
            <a:ln>
              <a:noFill/>
            </a:ln>
            <a:effectLst/>
          </c:spPr>
          <c:invertIfNegative val="0"/>
          <c:cat>
            <c:strRef>
              <c:f>Sheet1!$B$164:$B$167</c:f>
              <c:strCache>
                <c:ptCount val="3"/>
                <c:pt idx="0">
                  <c:v>Jan</c:v>
                </c:pt>
                <c:pt idx="1">
                  <c:v>Feb</c:v>
                </c:pt>
                <c:pt idx="2">
                  <c:v>Mar</c:v>
                </c:pt>
              </c:strCache>
            </c:strRef>
          </c:cat>
          <c:val>
            <c:numRef>
              <c:f>Sheet1!$F$164:$F$167</c:f>
              <c:numCache>
                <c:formatCode>General</c:formatCode>
                <c:ptCount val="3"/>
                <c:pt idx="0">
                  <c:v>312</c:v>
                </c:pt>
                <c:pt idx="1">
                  <c:v>373</c:v>
                </c:pt>
                <c:pt idx="2">
                  <c:v>351</c:v>
                </c:pt>
              </c:numCache>
            </c:numRef>
          </c:val>
          <c:extLst>
            <c:ext xmlns:c16="http://schemas.microsoft.com/office/drawing/2014/chart" uri="{C3380CC4-5D6E-409C-BE32-E72D297353CC}">
              <c16:uniqueId val="{00000003-857F-4117-8041-03F2C9CA7C95}"/>
            </c:ext>
          </c:extLst>
        </c:ser>
        <c:ser>
          <c:idx val="4"/>
          <c:order val="4"/>
          <c:tx>
            <c:strRef>
              <c:f>Sheet1!$G$162:$G$163</c:f>
              <c:strCache>
                <c:ptCount val="1"/>
                <c:pt idx="0">
                  <c:v>5</c:v>
                </c:pt>
              </c:strCache>
            </c:strRef>
          </c:tx>
          <c:spPr>
            <a:solidFill>
              <a:schemeClr val="accent5"/>
            </a:solidFill>
            <a:ln>
              <a:noFill/>
            </a:ln>
            <a:effectLst/>
          </c:spPr>
          <c:invertIfNegative val="0"/>
          <c:cat>
            <c:strRef>
              <c:f>Sheet1!$B$164:$B$167</c:f>
              <c:strCache>
                <c:ptCount val="3"/>
                <c:pt idx="0">
                  <c:v>Jan</c:v>
                </c:pt>
                <c:pt idx="1">
                  <c:v>Feb</c:v>
                </c:pt>
                <c:pt idx="2">
                  <c:v>Mar</c:v>
                </c:pt>
              </c:strCache>
            </c:strRef>
          </c:cat>
          <c:val>
            <c:numRef>
              <c:f>Sheet1!$G$164:$G$167</c:f>
              <c:numCache>
                <c:formatCode>General</c:formatCode>
                <c:ptCount val="3"/>
                <c:pt idx="0">
                  <c:v>224</c:v>
                </c:pt>
                <c:pt idx="1">
                  <c:v>247</c:v>
                </c:pt>
                <c:pt idx="2">
                  <c:v>250</c:v>
                </c:pt>
              </c:numCache>
            </c:numRef>
          </c:val>
          <c:extLst>
            <c:ext xmlns:c16="http://schemas.microsoft.com/office/drawing/2014/chart" uri="{C3380CC4-5D6E-409C-BE32-E72D297353CC}">
              <c16:uniqueId val="{00000007-857F-4117-8041-03F2C9CA7C95}"/>
            </c:ext>
          </c:extLst>
        </c:ser>
        <c:dLbls>
          <c:showLegendKey val="0"/>
          <c:showVal val="0"/>
          <c:showCatName val="0"/>
          <c:showSerName val="0"/>
          <c:showPercent val="0"/>
          <c:showBubbleSize val="0"/>
        </c:dLbls>
        <c:gapWidth val="219"/>
        <c:overlap val="-27"/>
        <c:axId val="677785672"/>
        <c:axId val="677784592"/>
      </c:barChart>
      <c:catAx>
        <c:axId val="677785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84592"/>
        <c:crosses val="autoZero"/>
        <c:auto val="1"/>
        <c:lblAlgn val="ctr"/>
        <c:lblOffset val="100"/>
        <c:noMultiLvlLbl val="0"/>
      </c:catAx>
      <c:valAx>
        <c:axId val="67778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85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F45AAC01-DA4E-442D-ADAB-CCB394FACEE6}">
          <cx:tx>
            <cx:txData>
              <cx:f>_xlchart.v5.6</cx:f>
              <cx:v>Sum of Quantity</cx:v>
            </cx:txData>
          </cx:tx>
          <cx:dataId val="0"/>
          <cx:layoutPr>
            <cx:geography cultureLanguage="en-US" cultureRegion="US" attribution="Powered by Bing">
              <cx:geoCache provider="{E9337A44-BEBE-4D9F-B70C-5C5E7DAFC167}">
                <cx:binary>3H1Zc9tIEuZfcfh5oa4LqMLE9ERMAaBEXZYt+eoXBC3TuFEACvev34Qke0SQ8lARzdgdUt3RLZFZ
TOBD5Z1Z/7zv/3GfrlfVmz5Lc/2P+/7Pt2FdF//44w99H66zlT7JovtKafWjPrlX2R/qx4/ofv3H
92rVRXnwB0GY/XEfrqp63b/91z9htWCtLtX9qo5U/r5ZV8OHtW7SWv/mvZ1vvVl9z6LcjXRdRfc1
/vOts0qjH6rKo9XbzffIn2//na6y9ffVG0c1eT28fbPO66ge7oZi/efbjXXI2zd/zL9ui7U3KXBf
N9+BmPITgZggwqL2w4u/fZOqPHh628CEnBBOGLdg5cdvvQZWXsXRAz+r79+rtdZwZQ//3V5g4zLg
bvz7v9+F++luTAAEgMWfbz/mUb3+/ua2XtVr/fZNpNXD7aoGR02X+vH24d78sQnhv/45+wPcrdlf
nqE8v7X/7a1NIP8LyF76xlXV6rs6AMzihBPbMskTyrY9hxmdcNvGTJgWml54E+1XsbYb7+0l9kB8
m+jIML9afV9Xh9jX1oltEWoSbj7gOQG6ua/RCbIoEwzDo/B8Y+/P0W6cZ/R7gDyjODKE/53Bjq4O
sqUpiGVEBNuGlnNCbIrsXXt5f4Z2Azyj3wPgGcWRAeyu0zfXCuyDvx9jhk+4yQBMLF7QzuyEIEZB
O8/U86uY2o3z9hJ7QL1NdGRoOwpMjklg6/oQYlucoAlrSkEbTy8x39vkBIPUNjmGd56L7dfytRvz
navsAftOuiNDXjb1IfY4tU9MTChDJnsBcnximszCmMyMsr0Z2o31JvkeIG8SHBm6/06LKD+ACKfi
xLKpaeGX4MX2CYeXaXLQ48939P4c7cZ3Rr8HwDOKI0PYUWmjDyGzbdDBNqEA8aOpDap409QmJwgJ
atnM3ER4f452Izyj3wPhGcWxIbxKVy24U/rvt8RgG2NwqDDh/AWQ0YklpseAWTOQX8PUCzhvLbEP
1FtER4b2AuJJ+SFiJdYJp9gyTYwfFfI8VjJJbGHCD57t5/052o3zjH4PkGcUR4bwabrO8wPsZbC4
CDKxTWCrziU1tgXmEDfZ3MR7c7Ib2E3yPXDdJDgyWM+a7JtKv9d/P7IMopjCwoxtI8tOsIUpgkj3
46bexPc1LO2GeGuFPVDeojkyoL+q9BDyGSxqzpkNHtN8+0K4hDOOAelNePdlZDe0G9R7wLrx+SOD
9K5JV9Uh3CTrhFKECXqKWW7Fq0HpElsI0Ll0E9v9OdqN7ox+D3xnFEeG8DIr1lW0Sv9+6UwJ5JiI
MBnFjzY0ILmhfrF5YoLdZWIIa0+v2S5+DWe7sd5aYQ+0t2iODe98OISQtiCvTMDMAkH9U+FuYj05
VLZlwZbe3M/LPfl5AeHn1Pug+/zzR4bsxbo6hPVsnlD+EK583KS7JPUUw8aUQC3B84DWvvzsRnaD
eg9kNz5/bMhCZcohghyghCHAQRgzX9i09okF70Ekeg7tvgy9gO0G+T7gbhAcGbq3q3zKLVXNeAAd
DHUBnGGGsPUI8Y4EE6SUBdhhszjW67jajfOONfYAewfVkSF+uUoOYVPbJ5AbxhxBJcDDa0dg2sYm
tgSfYb0vP7tR3qDeA9+Nzx8dslqvD6CFIdLBIKUkbPCYHl5zW5pAPBreZsKaierL1b4cvYTuBv1e
+G5QHBnCX5tvh0kqYQAYgpQv5RsgKwz7VjBr5g/vy89udDeo98B24/NHhuyl0m/+nQfrdH0IW4ud
IJMQKn7aWnNFjMUJYRRKvECAT6+ZM/xK5najvWuRPUDfRXZk2N9GOokG1fz9FthU00WxKcjPiut5
egkqri0oGDChPHPTf3oNT7vx3lphD7C3aI4M6atVFR1AQUNhPRjaJpTfPpVcz/c3wGxSDOp5qvF6
7ibvzdBujDfJ9wB4k+DY0F1X99AT4Bygb4Iiy7aE9ZRP2oIXDDQB2htztkt8X+3N1wsob9LvA/Mm
xbHhDGWZ62o9HABpC9JNkHCi6MkS27K08YllWmCHzVtkrl7B0wsoz1fYB+c5zZEhfb0qDmFvg7Vl
Q+QLQlsP2xVtoQx9UOBOIVDcm+J6X352I7xBvQe6G58/MmQf4zxyVX1bHaQlhp0wgiaF+3Jdj2UL
yjCU6j28NoF+NXu7Ed+9zB7Q7yY8smfget2uDtLnCOlji3BB0VOR5tb+xlB5DxWabB733J+j3XjP
6PcAekZxZAi/q1bgUx9AT1PILkMDo7BeqKPH0OpqQk+UNXel9+doN8Iz+j0QnlEcGcI36ep+fZiO
N2E/YPzY17ato2EP86m6gPxKXz13rPbnazfOM/o9cJ5RHBnOYN8eonIALDFohvjlWNnzjvSpEggy
VBAYnXeu7snPbnQ3rmYPbDc+f2TI3qQNDEY4gIy2T2xqcWhDfzLB5thC1gJSFrYJHTObxtf+HO1G
d0a/B74ziiND+EMEjRI6+n4YRWwLZFL6VB+yXSDCoYKEIygimG3gVzG1G+ftJfaAepvoyNC+Xd1X
MLUjrw8jr00OLW4Mul8eXlt7Gp9AsS78QNHQ9JolMl7H227Ud6yxB+w7qI4O9/yNXMNYlEPgDhV+
JplaV18oFiKAOyIIyvFn1QXgyL6Cq5cQ31pjL8S3qI4S8SpfVd+jg1hn0EcBvYxYQLX2w2vuR4OX
RSBMBnb6pgJ/BP01jP0O+K119gZ/i/LIHoCrdf5d3R8Ge/sET741508xUpDkGzW9hEInLLconWz2
557Xq5jajfv2EntAvk10ZGjDrKs80umqOYSxzqGCCEEvnPVS+Ri422iqUeCzDObruNqN94419gB8
B9WxIQ7K043WwSE0OvRnYMhYQ4/GbGODUMcWFSD1n3T95vaeZPvePL0A99YS+6C9RXRkYN+tw1W2
+vv9cKgehB4bCwqQXkiFTFP/IBECU0ce6wtnNvv+fO1Ge0a/B9QziiPDedpAC4iL30f6Xv3cW3/P
dEcOpdwcmmx+RUQ3NTaZcmJQjUR3mGu/ONrnAdwN9MaF/VpmD7x3Ex4b7NG6OkimExrcLUSh1/nR
494OlKMTeBNyoeIxGzbb3rd78/UC6pv0+8C9SXFsOMP2voKhpIfQ2RzKjGBCHARMX4i+gCQnAux2
Ngf5NUy9gPPWEvtAvUV0hGifq1XZHKqsEEw0RkBs7/S/IepCbOjgsu3dWxvu/iuYexn3+SJ7Ij8n
Oz7sp9Yt6JE/gNUGJaVTPTh087xUc4hPpg55KGKYZU9Am76GrRdR31pkP9S3yI4N9XClp2v8u4tM
wUyHqXDgeNGXmkDICXhlSEAx+U+r8XE69+3eHL2A9Sb9PjBvUvwPIPx7FjcueRrc/e+fd3iHXf76
oesEJjpaUIj2KMRBNW+Y5ZDitjAnHFqAHrX6z+9+RPf5pPjHMNsunnYj+5x24xofL/H3N+V/bqT6
HdT2w6D8g2xNDr3SoIqfagW3sl4EMtkwZArGAm6C9wqWdiM4X2AHiht/guMD5iRHhvKtSlcHSXZM
pShQUjYVfz+85vsUwiSI2eBEbaW49uZoN8azK9rAc/fZCDOKo0M4V4cIhMFYR0ZtCyq/Xyruf4iJ
WgycrM1tfAvFRvtx9BLCG/R7IbxBcWwIT9OVD1E0CEkrSghM7nxSpfPYNjhM1rTLtwp/b/fm6AWE
N+n3QXiT4sgQvmtgAG92kBnL0GsnIOsMGL4gpxHYyQRjQSBd/Twx+RqedqO8tcIeOG/RHBnSn+AW
NwfxgOG4AwhbUvTSePyHKXFQAGyhWUryFSztxnm+wB4wz0mODOWpb7RQB5mo/RDUBOtaPAW55nYX
wGxbjAvQ2rv8o9dwthvtrRX2gHuL5sjwnlIyl02k37z7FuniELFsE3Y3saALB3JW02sO+zTTBIpK
4SSEHdmqV7K2G/eXrnEP+F8iPbKn4EpBedEB/OmpSBRB4ffPuVQQ0NoIiQD2EPWG9iw8U+F7M7Qb
8U3yPXDeJPh/ge7Lx9P9OunPXdUr7+GMwGcn1P3+3YfbA2cbzkifzKUdAaZffbDL73++hYowCgkH
2LG/jh+cFtowth6PgfppgG1SrSGC+udbOG4QjiWDNlxiCgZpK5hN9fZNt356C8qNCIRDJ61AMYEQ
dw6nLoVwhiEcbgdjY2F87BRugZNxQPdr1Ty9BWXmJpQxQUmiBa2f/NcZjjcqHQKV/7opT7+/yZvs
RkV5rWFhgt6+KR4/N7FrIuhLgZgdFMBBaA5mwE9uf3G/+jBNo4N78H9UYY6JOfj6HUrpXaL0LdHm
Rcb0+6QvYtm1LDwPkOwyzM7iYYjdLEn8hd9anVP3jS9RWZSSD13jqsH4gNg4OmHBsexYbUk94vc1
KolkNqyVcxV6aVzgpR1URBZhelvxPJZjroTEqr8ySqRklseF042t4Ri96bu85rGXtsSQVd2V1yjP
7qC13bzi7ZhfxoTUUlmklIGvA4+k/JRpO5CiVZ1jhWEgxyq/C3NB3dTICokqvSwLc+GLOvB0gonk
LFuPZfipQqkhU2KeKWrcGmOCpV/qq3EcWzmawTeIe8ayNJvBqVTn5dUyxpc4oN9bOGWTOrUdnCnl
B27XNkSWYxPDHUlSN0/7xCWjLrxiiFfdqArZ19X3pu7OcV100kZwQVXrL3UlbgaDF3LIPWO8bGp8
3jPxlxlbS4ViJu3BRK7NzcsqqG6irO8la0UhVY/fJVaVygA1HhYIIKFcyzoI9JJXDEntZx9I0LH3
thHe9yR/r3PRXPgpTZ0Ih3hBSkWk5i1eUKtqvMJXtZcmVez6SYdlhcQlicLl0ERMmlXoxiL/0Cc6
lmhssFfSjDtCD4O07Kz3LMRLLyjr9jaoEXV8bH8ODBVLFRWnJYrPdcLvmD2usBHkp9mQyBrVXtyG
tqtImMiCVqEsWHHWoZY4Vl2ewxg4DfiVpzbNYifxcY5uClbnt8Iv4YsrLYtEvRtZdR+pTi1Ja9zA
A76yVaRkFQf5eZjgL1XZXlWh3biGYLEbdXTdd8265cOw0HVfyFIL/4z35rcMtqhUwIqTRFayiLrm
1iSBvsgEOm/j+Gsx2hdjiUfHVOGp6ozLchgKqZFAizrwsVSJ38lK6+s6HmH7tHdh4H8rQy7Ocmr3
MjayW3+koexJ87mkfJmUdXAmTHUOI3tSqQYrWwidL63A/FiFKDxv69ySSTzewprdZdmardPbSnl1
YFVOHo2RbKs8WWB7Aq+ng4Ms33Kxzz5rFVdOOzaN1DrPzzVpeqc3OJfhEJUy1WntjL1WXwLkB2d5
GFY3sWXasqOl2+cDXogm+yTIGMugDhd9G2OpiYoAoCL3/DRuPB0lEez2mix1pEKpYit0K9Is0SjQ
shThkmM/PbWAF1ladJAgFmspMn2j43qUqszPWF2exYblxmqsZRzXsVOkBoadxmrHQKSXAwu5awfa
rRnOJYf/MZh5Ewe2VLr9iPv4wqyac0WHa5tVty1vGznq7DQ0/ETmmT/KPMHXbd98jJSZy3QIbzLW
vE+C7pNI+iudjV+0z7hM2hoEjoo/WS05Zz06G7S+q4WFZNnkSCKlqLTT/jLRpcdRpRbZILQkVX/l
V/R9kg+p13fY46Q4J02Ty0E3P5jp/xUF+B1T8bXRFjdlzEtHtPqb75u9bJLxSxpqKlkphJfH2V86
40T6gx/KmhR3KmQXvVEor03hqal9e0g+0SY2zyJm5fQUArfEC1V/bpuRcp8fDruhG+5VMVRRED4d
8fvr13/dqQz+eTgt9j9/nE4I/s9vp2s1pWz0/EOTCv/1qf+cODupzF/Hz84U8eMxwy9o6d+++bIK
f66LTSgg+Z32fp44egyhPKjEB6qf2htDd8A00QzBeYQmnJACC/7S3jB9Yeq9h5JiAQpgqkZ5Ut8M
guh46vdEU7YLjjp8pr4JzEiCBaGITUASFIYKv0Z9Y/iOTe1tQz0jjLu0IJ5PoYQCTIjn2rseqSrK
pumv847aXtv5IagFGvPESXjXvrcMcziP+zZPPISS+mutWPsxYbovpbbz8vOzu7fDmJhG5s65AaME
5u2CbQInME95oufcsHwoEjts2mtS5vg6SMbclw1XVuj0sNNs2Xas+crbwohklYm6dMq4SgLpj5oz
B9pj8+92XaN3sEbYuCRN8cfRNAQ+HSzTX+PBwP3i9xwTCHlvcQyzcGDopG1yOEpjso6eWT8s4iFg
O9TXtDeDwLX6Mf3YQn6ELmo+KFO2Q49Bb3BfyJFbQySHBNHTrK0G7Fatqr+HvdbYiYzCdDWcr93K
OgtRK3llJoEXqDi8SRr7PNN2qF0I2NufdFheJGln9l6kDesqqsI2O/39VW3DAC3jCAbTwyGaUOT8
cNHPLooPRtAZRaqvcxAgn1QgwNBhCYFHo8ib/qbrK/u28HH65fdfOz1rzy1JMCHBUuUUToyCCWGE
Tmw9+1oT9QErdJBf52LE1zgJm+tcV04k/PDT778Jts/WN9nQiMVhFigMpBKz56zI2TCWVaiuRYHY
quxUlZ76tRiITIrQQ2WTjg5Fg1BOTM0u+28Pzdxkhqsk0yR4BidjwQks86+H3FoUBnkWXfMyMVdZ
3JirJJ14MMdMe1allBwQQH/apWUHBmGi+LpObb3s7IFd9hatkEO7WCVOzPPsI60KQt1QDMO6AI3h
ImMEy8q0FavOTGqNjfz93ZvOdJrdPhizCWIDhsLAMegwzn4TKGQ1Zm6avnGFGz9bRVWtA4mNpM6Z
pMOQB+ddGCXfAmEXlz0YxwtLsT5yCG75j5qPo3KGMOAOKLh2HVWUf2/NIuTnv2eSmVsgU0bhIZqS
0VDrZ3Jwkp8/TlYlIlSFNb2KWVn4tnBrOxxP+7qn9qJum8ap+hK9b7PBbGQYhtypcH6qSVWcpqwg
TpKW2YciNbNe8rQLPndxppaDrmtZmGXx0dKJcP0y951GxXEko5rGnfRjnV93haHflcZIvSDAdiyN
0c8zh7RhdmZadfqBxMFNMOS0l2nDy+vaL+9qkhnUBSsCbmQ0EJANrBlHiToRX6ahKb76qGHnoSXw
5Rj0re10KGQZHG03REtDVEMmu0GMLu5Mwx3j/r7QZX3bIIOH4HnVfOHrslkyn5C7MsRdcupzA0dy
DBP/G9RWVa2M8tL4q8l45haFJstE5cUSl3b6PWoLC/Y9zZLbyPZ7LtuSBeeVXzXOAPfhFDNivys7
MOBZV5ULjHvceikc1ho4bReI0mlJ6HuZppXbFPa70DcC5GKs6jNQNaRzchRbUtQ8/dJnKLwglV3c
mrQ2Txs7NshCW9m4EpaqPI36eFy0iQgWRt+jFdFp90MHRWE6I6lRI/OAtMGir2MFm6PrvCFoG7Go
lB+6aU2zsxw+KiGGWim40VnLZazj2HC433HJldmPktWp79DayLPTykq8gDUDet9RzNxIg4MHliYr
6wWtO1uf9pT3l1Yyjqn/vunKOsvkEKVDXn0P/ZCQ8avujJ5nobQrEOXqngxZXNNKNnXTFOi6Tuos
ATMsKsfT1m5qf5lVUVTImKTqFnGDLuOB0sZpAANfDiUCa24MMyHc3PdBH9Zp0pWelXQBcqq0xv67
sEQWV2fJwLvQHfrUri8tXVN4ojpfYd05DejChWWEsf+uha1jBU4pCgEPHE10tsjTqLJlWoLy8r2+
jSzH8KFYx5SDj3IGZ//6WeaAI9T5iy7laeZpH6yChZkH2eiI0QSJmZOENU4WVkYqWz0EYLBHRpZ5
KojED6NpeYRcpEh9GjHRiGvT8AP/PKfgoZuxk/e6HIczDSNAq9ArgpBnnq/bsVzYlc6jxZBa2XCG
tM4KxyRDGjngdQ3paRWVkeEArOSzUWQjdqEJP8lc+BcZ79IYGRpueZ5/jrPMzpa0suvUS8La+jA2
NaWL2FAEX4RdqDn4CSEJ61O/aov8FpQxPY+DkSSLpgAOPFWnwegJ3I+2I+Kh6K4yMcCjbcBWqVwf
4+a8oqaZuoFPg8bleQtwRlyDfZKPMR3XaQJpd1cAA5lLhywslxhF7CyIeGI5JElK6kYq8t2x8RNT
Gl1V2Dex38XMoVEZjzIr4tG4QH7KFrjwAxPYtXnh4SEc1TKMcBd4ic3CTk6fk9iO7Bwen4CWTt9F
xijrPjL+quDwj8GQEewjco3HB0dQtMygd0PakebaKuxBubld1ldmk4NKCjRPgMDOKNwtPwpx/nXE
aR6el0OW9gvdmWN0geugvmMxMVdm72e+FBge3kWT95x62hojYL7BceamtEy0Izrfi3BUfk27DiyL
OIjbW21a3beiCulZy7vA90RiIiJz4cM6ZqrifpFXLb4e+4Ky97o28R2uwdOTnWVo4dR44L3XkiyO
zqqekG6Zg89H3kUGtz/lqJwezjgu9SlPdahv+oHVwkFlB9iEHThRrtIgdC9Ag9mfqEDwdGcgJSsX
Il+9Wtba9slNXDVJ8oGI3GbLnsVdc1X39WR8hkN/YyaG1Xuqy+CrlZqiPj3J6vEUJXy6+In1DuQT
8FVk+JqZOVxFU5pwq8JEJaNjJy1snSINkuh9XnHY8lUDVkEA74FMJXUevisxG6pc0iJEAHdX9c1V
ZoSFlhFqyn7Rw6xG6g1tSSahAZvJgSsCAdLbeLKT6zz75BNqn4s2ioQUoZnAczEE1qrLKbDRV/Hw
gdY90hcBmLnxhSryJL4VoC1OdY7wdWkH5VdobrdKGbIwIudKBDbEgkIVtO5Q8bIDA3egpwWB2+pA
LGe4T9LEvOkbjdRZiYY2+dxZWaDPMt/IfgyjPcmQqExDF/wAQb2IDKFeFFZmfzaQny2yrgggMshA
zA1VF36IVK0v7CyJTdckFQlA7ME58bINif2pio028FKSwzYZDZ/aS5YrXK4zEMjDOZxuCHujmyS2
F5sG3NG+HVsPlExXXuCqIZbj22ndgqalLQLTu4z/quzWvjMGMNPPR7uu8Pda54OWGca8XUYdgaX6
DIejw7rACpYQ3Ag7x0hsazGqtq2v+oGnt3GrSym4PmNZ35pnY2cBOAnCejwt0kSpq9zq2aVRI6a8
sMyz9iIYuiJ0hKmz8A4sEf0d2TmIERCdupVJqDst7a4VJWiBobxNgxJHX7AaqYAwI1hgw8eipoYN
i2m/8kJuJMG54RfdtzBARuukXFvJMrIRft9rwx9Pq6bUkReNDTykEaljetMn6WheZ1aRprIsWmRd
MRyy3hnAutFeFxaAWifyKJDVyLNICq1TD/e0r9w2JaI6HUUJT3/C+oC7gz8g7fiFtsrPnTnguzis
4FkDTWd/gmcdIjq5nWMQsKSw44XIQquTffOViKYTWCZJyz+aJC87tzODml0xPxXth9LXdgXKHZ5o
r4gooAmOw9BfRrRO1CWvipDekB6l1tLvlQ3X1fdGcJVURtG5mfZBZoA11tRXaeoD/5WdBAsdiiR0
ux6h5VAy2PcDxM0jyfyQXz1YpU/ph5vn8fPnsYznoY19YiRX0X2ltPpRz4MkGwv9fx5J2ZUMAU/i
5WSIA2NaH0okoHL8eRjmKZECtD+DKlCgZE5DKamNMZQyTQ7Ur6AKtO/BKQE/kxsW+Cb/yYlgBHVP
NsyY5xB3mVq0f+ZEOLT5Cgj3EOsxX2K/JqgCvtzMQTIhq/Iw6Rh8f/iZIjvPXQ8746OdQ8j1XdpG
YP46VanQedpjdp6P4C04sZV9HOIA0ge9cSly8N5iM2tlF1tumBtI4jq+64P6IhH9bYv6y8GH9EER
WraEnQEiLhrBcqw/ddlwzTO6NCNL0tRXshT6XdH351bRWE6flctoTDuZaQ02IMQ+fW73pxWlP6gI
aqfTZS5RlAwObCPiVYlRylGwRRPHwmEpWNS2Dr8OFkQWdcoGz66HzEVVcccsiA2zxiAOxCgcWozI
GbpasqBsnSr3P6c2dmtiQa5Da9eMum9Wk8jYLzMXjrm7h3hm5LRW9MUCLSUhtrKkvQCVFXEJttgX
K2Cnghej43d0EYrKkFRnZ8RqTbdV4kz3WeYOrK3AhOm/Dcr/ltX9O6TCUpoQn4qQHTkZS06TpF8K
cLIXuO8qiLQYSoqg+B4gZro9zr8UyowlDVvq+k29tnwyXutkWEWF6V80ZgTOoEkyGQaWZ+QCfyCa
Vy4DV8KJJqWjdG+fdl1ygc2y/SrstqKygczcAlxaZ2Q88pjP1SIdKHJS8Cw8EYZIBvaoZENyfTUg
0bsJRIEWAtIbrp8ag1NDqg4SAEnoGRG4OwOKfC9HOrqIkEpPhd3Vt8Rsx0+Q2gpdhcBESHSKriDw
zxdjlyRfVQVB6Ihz60urs+yDrnB5E1okWgpc9Zel7VO3HVJ1Diq8aqTBWHzpd3kxWbD9ZVONKZFj
hvxvvYgMASLXKJc5Qe8TZWMvDLviIxrgxp/6ELf7y4jt4AcTaeNlNgErrB4aLxHCGTLIpem4aGQ7
1vDcVGAbanJVDyPc9c4ru+BS5+VXMONtxyib6yrMuzPfr/sFRy1Et6myF9wMW8n64prVpF6UGYIo
R1V7JbYvwPUJZJJGYBnScfKX7dwdWYJdhUXk8mxAC9XQsPBIdMtpDt4p5GKuFByieZE0QfvJBgdq
aUFNngzBxjg1RD462qh+9MQ3zsC+dnsxRI+BiL9b5P/vCXMMYa2XhfnPg3y3BflE90uQUwiBQ1+u
NcVpYPY/CNJfghyi45C9NiGHDqJ+SlP/FORwXMSU8janqjeQ4g957ydBDu1BkHGHoNS0KgymhnD7
z/TAhnKGpP7T78+T2/M4F4SgKfSVTa2i8BSDQN8U43UzdCVEBrqbBp0HILWHD0r/l1ArnDK2oSvg
KuDcbQ4l8xbMAIT4zXSW63NdgY2KxnGiixva2THSkpk6SWRISU5vQgT5R7dUVp+8H1VkiespUPWl
CjhJ3sPAucEJUdYT2NKFo8FTKUOwg/zUs2jkjREeZDNSZxjSGx/iQqkyIH5lnxmluq1REcghxN5Y
8g99pM/AnARxl4GbFdXYNVl5DvbSO0Mk39IhWRm+D9GbYhmn8ZcBMnrOGIXvglp7gqRLHoKVi/vq
R9VwsGujzk1Lxk+jEjwaI8OpBDv7rGyLxGl4/BESmiXVDlzel8BCS7BvQQ7j4rzs83UKUW7p90wW
Q7b2C0jmi6yABD3qBSRaq0WRNpd+zTtX5CBwq45A2pejb73OzykzMhez/K7FwTnEuT5WfZhKEtWf
k2zQTjh099pi5wOr8kUZF1d52HeuXXIKCso3HV9Vt9A3U4G/ASnsYKBXWZBXTq3p+7SzA2dsmy9G
TEHQguFvEp5JQeofkJlLHRERJXmpbnLFLnhXMa9gZSTTpIzPLAhpSzDJA6ePm9yLClJI3IpEsmL8
jCGeSAFOqRrjg9kZucxIetdldiFtkXw1yopJ0hVLcODi67TusBMaybk2wB9AuGQSi+AyqO9prBY2
qPso64jD+lI7dpp/9seWOX4pclcF+LwSTeXWLT8duXlfRH0H4cLqouHsXoCn4Yo4+iEy3joBgyBi
Wdt3QWn9YFEHPnK0jkqzc7COz0ICOXwMyloF2U1L9DccxxB9YjXo6CRfphHEXVhbLyIBAaqGgipk
uu48ZiDbMfPmprGNj23QaMdI62VIw8rDLLwN+rp0FQ8aJ/epl7Kq8tqAe6MC/GwR3xLaOkkLKqG3
288JGi0ZDdaPOLb/MnGiwH8nFBLYiS8NP0yu8iytnCCOCgfkyscAnKScmQWk8um7IOXcDRUESHDf
/9XGKTw9Xdl44v+ydybdleNWEv5F8OEAguSyObxRehpT04ZHmSlxAggOGEj++g5mdZUzXWX7uNde
2ioln/hI4N6ILy4s7kcYrq8tKx6ZcZrENN0HdS3bmdH50pb8y1R3XjIT7DGmVNciJJ+KRK8kWmjC
2irF4TYTzO8C7UYerkx6ufKX9th7ePpzS8ehOPS4G/Eau8NjUNo1KViLpzzm7RfYQfExWOfmlvn2
cRi8A1n7DwErv257nnDZf0cDP6gkrMtcq6jetVad9Vg3z5SqjLOCpxN76uJ83i/V0lwJUCI1Ifej
bmLIwg0f6qwQED2Njc4knGUGiVWmEw+CZMXzW/r9fpb+NZ0CkYYj2ZNwSnu8myiP+sskw5cqCj5q
B5Yf2p8hoau7E7xPTbWc4VO+k1mfrapPItCvpabNtubcj52bA9S5l65/tC65X5YwY6R88lr2OkUB
9mvnHNtyAy5uIYVdr5ParbpFH7581wb6YRU2WTupNodakLYDKuVphNUfBbuxN5cwlPk4tDzx1zWr
6sAmMgaM0UQkKQi5WdT4JOq4zQtvAklVgVOZn8n0EWg8iYaFO582oUiLznKRxIWtu7TRCyG5Y5bw
KSzNvB+G0UubckaNG/Wqv7S+/yIkJQ8wNPLQdJBdeYN1K2kl7ZdEBKu/V4sc04ijc4x88dQO0w7I
0Yu1/GkayKsjYPk7OlhvseENu5EP74PnHqvR/z4X0Q3Ez0vM4zLrRFSjloWSWQ8mSknD651YRfxI
oTdel6J6qMvya+ONJLWt5udxXcK8FwrITOcsKVXVa+fhW7TVY13LJot9ctJmetHQCR4i4otdQdAQ
9Ph8iamx90B8whqgCWfZpPv1hqiIPLLGX7JliW1ejkAg8JZPz0U86YyqEDZGp6Ns4CqjzJiDcZXd
F94I3V3IZW87p0oN72MAIG2Nl70ODhY9wWFqDYQydT/RKh2Yu28MNYkkBfgbHxQXcx/7QL6M7vxQ
BiM7xlS/yNhKNBZrcfmpFvmLnf1Xh/PHprsdBLjtuF6EA4n+YWdnXPfgbgd9KyObM/emiR4ZPnWA
pqehz//6Wr9WEdu14N/D5kOniqQ6Dr/5dYOfJjkrz072Niryon0all1F/o2f+e8usf38J+cUNiHn
VnN72+PFBAiWVOaN9g//j78DXhqERIYaa6MNf77IVKGnajprb/3xcZBXMwGecvzXl/jz14Jb9dMl
2K+XUBqioktne0ujBzHsVqFyVCFd+N4s/+ZKv5qD//el/HSl7ZP8dMd4ZQLBFP6YYVkTt2Np5Z20
uLYmN+K0ivXfWKbbB/+7tf3b5WA445x3B6JFsPEcP19Olc28jsq1t3x4cRUcRfZYVudFvPy4f//t
NRy8NP+814DPqae/kozwW390GjhjDvM/8A4CL4G9hW/gj04DgUZ8RVgHgK9SVPp/dBp+jB4E7A4m
SOBL25qNv0tG0d+AKKBv8SGXbojtf9RpeOGfJaMQR4RvjQ4+QgSg99cnZIZAAw+hoDft2ofLEVWE
8L+aylfFDfRpX4hrAj/0EBUhT4muHhZa0qRltM86T0MxKlidYB1ocx0rmmEvdw6ObZssmv0x1Ua+
u8tappA23tdhmjPhgycZJ3bmooQ9UDS3zQBRtizwxomJJiaCMBwtq3OoYzZlrXYLeKctNCoiTF6N
imcVQx3SYZl3w/rZuOyu9rs942JM5Zx1ZkUHoGxiHOGAQ5R3K+A5yeRxQqGR1FzC81KkTGNI1Uk9
ru9xM94xNjhoLD0Gas679RzFrzVd5Q5uUJd5BZcwYodPvyjfdaNVKkiYq+XDzl6QwYzODfHLjIvu
evboc9+V4Csj2x/oBPt99G2ftr1bJb4kgHGieExdM5/9tW5yb1w/dFTstDRnN7Z7N4Sz1cv95E/5
iNLJa1wDyxUtzGj8DxWDDrCABGMn8Vb/qlvWwxrARdZlMaJyUakR9WOkeZdx3h8EQJ5ZNo88JplS
3V0/OueK6BTyM0yMQNwZfKVaUIAncz12e0XcaBex/uQG4ms3VWBtw+LKMfEVLMUOylzRsVPke+Od
Ozt98daMvPTyyZdld0dWtfR74XYLmN7WeVnWJpYJM+03L/B3czVa6Pz6G4S9Xeihr7ERflxr+zFQ
d0obyFqJMPNBLdWFdkWUEzsvu0FVn5awEfXV8sqc+FGt851r3DeAJydHrq+1aeKUBZOfhyX9Xnvz
yTrl8saroQUX0QP18DsgjMAMAgfgZjDewW85hGNErgBAPC41/iz0dqCwy+immKc6jaoVIGSQ6Uq1
KIZYnCu2OIc1/HQbSeEeqiejYB2JnnoZh5XZlrG/D0gNMgGMR+8G2Qh5LSWy+la2w5pyvay7yAIN
b5Zy75HptbbyIPHapF3UzQmsXPSS0wo+tkOPBptktrQAJUxul4K8jMqBqOq7WeM1X4KiKmEEeyH4
aNCpIEtgfBx42IbgjuWpCyaLVrqHphkFScXaz6lSN72g72YqrhgHGdsuzQWI0LmHApkwGZ9RiYaJ
56PVaSAvjlVdJY0ydj/M8EtU5buJFyPw30avK0pfwYOjM5Wvfuv3DythVUKqCDSJF3wJSfUwA3Z3
YvsyVLQ+9lV8XOfhXJRRfy7k9MLmYg8K64EwhiYsuiHxdFc57KOn60WI8dBKPJsrg2LXu53OgKTc
GyP3LVy8Utf7sanivJ3jDo3szN4mMx0rr9H3RWQqUCR8J2Z7Zmpq8/9ubc4WEHGxp/zzre36/fvH
+Bdb2/Zbv29tiP45ODY3wEltQRzi4L2ftrYtIoRNbcuHIvHN8KPf3RBYHpiRFkUYVhv9xpH+4Yaw
v2Fi8TZCBwey/hhw+p+IaBiQ+Uvxg4RItM2LwAkXHkwXoK7/UNURx10mT7nlTRGLXbiAlFHTD6p6
vPiKP/ctSfpZxdlaL6ewWMS+E+U1l/qA2NsHJWZIbRyklW+nVIb8DFevSNa4gYZjgBIRctfVNbhJ
ib4pEvwJFkCbFHUc57Tuv7kasq6K9EVpEEmuecUOhUWkhYqjmgSM8xuLeUbAKj2BQXcOXdGeS2EL
cEGByfCx5U7r+iJBsiSl671qHnbZUNM5mXw6ZVgXKZij4tPY6cPnAUtWzH/PI4mVBj7ng2yru7ns
3lfHPpFlgKTBSpPKoF7zlgSnAIBtplmFOxBXC6IU8msUNN+qcLwIIMXQuPAnargC+dS7t4TDKOLl
tezXcyNrs29G5Dqm2rsNmubW2YiyugaebyM1p5zRaI/6wIDFsd+KqZlS7uoaLnLEd2sVLBl3mkdj
lttar9gVHQXl3ufhFRSoh0kUmRAu8h523DWciozE67ni8alS87mXlZMCM4JYqcyxdJHNKSXSJywq
JdQsYEaknqIsrpz1ywSU7BDLQEO8CJu0hBp2goPQ7OJ2/k7MspxKU7mp0zllNokm2vs2IuB//Cs2
uMeBRv1u0UVxt5AOYg+0qd1SOg7qA4H+kgBT6nRX3UlG9nLTLuoQHszwtjj9up9KXyS8r8SuLcMa
YBvdhd04gIMzy4F1BYIXAwSbsAsTmNHfgAeKFIhqmXBCRc67ec6w/L7x0CJWMfbXEGSWDP/ogvW+
3jV1N2cOOIK6cFVuOjadPG+4b4uwykLPzFkzB3ggdRhcnIn6hxEEWFrq9ZseHT/pJw0zj1BAZW0X
p7qQ4aFuPJOtS3QdChqjcGMf0DogdMQu6GzVgUzDoxzQZs5KU/NdXy5R6hL20FX+mwnbBhLghGco
CvlBTTNkodI+ECSzjkBUvoH47cACFgiFlF2UOdrgMY7DW9BdczJQTg9EBK9x4311WrkPyaxyb56u
iSA97nME3cfCa6mGr0tMF3z54RBm3RSzO2dZFT25Kw54Ngke3jqfNx7Rtx+ITTzPJd55rwVJyzXK
VGA6u8VX/m1oxSvMpykrohpZqUlpxKOWp7lkKmWFHXPASklk4zaTUi1p28rnSGoLIhZEUS27pBjr
MXFh0J0hkQ9wPqsmWYLucZXFzcj6Kz3HU6Zl91mrARpiBS8rOpvIuVtVc17Xau+14lSR6tppsOFL
uLEJ5ZoCw6P3jmQmc/Hv7obZPUd+a9MQuBZESg/IHT448lqTpWeHOJ8MdCWcw21porksxHKSZHn3
nKVMBlcFyTCjCK4Xw071qnbRXM6FhqGl1HMHv1SiJsPGC2V3lA++1dOTnGf7Ohde3ybMmcx48Oso
eCtbGZzUBGjilpe8jI5qIPStKJlXXDdB3e5F3KpMx8UzaA2WB7OHR6MoeV7geTlQ2ZrcNitPLZ67
PIBFnOApfNVUH9ZWeFv3cKjYWiB2hgLc1mWXxLK4i9b1Zu5QaKMhXlMC1Zezsv2iMWwgFz1M57Hl
Xq7L5rMcw7uRoUQgNtgtyEofYBvwNOzDez9W38VinoZArju8xfuoGJ/WWFfJ4Ky3Ma3Pul2CtO+d
d3fGOi47e9NYce9al6dKFdNh4KTGs1bcgJ330kXBHiFoqAF8Wrc9dtIzWLi691CaKvc9PaYhq6/q
tvnqRRarwfx1Dr1dNyw9qv5gX1CAsyU3bQI85hHmemckQonIUiFwh6YFNQ4x0U3pBvXOLM0n8ysI
AupYdD5USF7nrqAuxPcOmKsZ/CQU9kGs/pxVBVa/UYhy1/l9lCyLEsA561zJeYVlLfaAi9xUWGkT
WLD3dRPEGR/Dq6IfbuXk1OlgLXBRiG9D5V1o5cIvL8kuGEdI+mH31DJ4WmK4oEvsUumw5yYy3xrL
gInP/Gz7WSZmVucC1kIwRInq65slkACPFTv1BVx83fQ7wD/HforeHD+q974jy5QR6SZauFedX/tp
sJgEsaQMhMVDGLd+ArPtAz7ruLMrFls/UudGIH4hAC3iP5x3IxtPVEVoLWuk8OoxPMLpwvqMkrU1
a9KS+gGgzfugw6M34P9Ty5WR5Kn18VU70ZCPWiosN2Yn3PKjieNDgCyeJPhp0UefyjTf+8k9C6/a
/7eeRD25HUbxr+rJ/+HIXn3/U0H526/9XlACr6HbMd4R0BXUhyGUvp+0EkgeGKLsIwkMvxY/+ntB
GcPGxDFW4G9gv24/+jtegyLUR2iAQQH9obD8B64skLp/LChD+LEMhmwIrNfBo/SrVoJFdIh1VOmb
Bt3lKeIxvR67+Rx1fEgDPT4xMCJDo9pDh3px/agk9Pc7jaDpMqzoLd2Z38VV3yWqXe5USU9yEnI3
8KlO3BXPf9i6ZF9zQxPaV7sS5tMRgLeD2gWJxMlOZZXGZuh2IkTT+rCU/StqN5kQOLxJCMoWaURv
oiczk/UU9N0MAGjZuALN22zZSAMF5KCMwR7UG4WwuBI8gtvGR74xCv1GK3gbtxD9RjA89D+Qhmij
G/qNczAjcbJwYx/kRkHwjYfwGGLLIxCJ9gcrUbppoEBPBMAooo2nMBtZYfg6wyYDbTFt3MVop4u7
kRgKSMYINGMBolE5KG+AbDi0PNuN4VAbzVHDH0b7H6XYonTebcxHWRCV42LlZ2Ele4PSYIrdEAxY
ZxBAQQc/uYd41Pew3h6ixun0sUedq+5qtxsOwdCn3VCxAzb9qXtgyomhnOgiNIkfFnTvu9Y0SVAE
n22h7REZV73XXdtmq+hul2a6oLA9dby6DI53jhTZycmeiGCZXIHzbVxTg6Rt3X+3nXdfq/j1v4vH
j2Z0I9n+eTMKUl59/Bno2H7pp6UDx91sZ0b/0XD+tHQ4IWYE4BykEMLpdqLG/y0d29kLgQtSLv5t
IsEG7f2+dOBkS2R38L4HgY9DdmL6n/Si4AP/tHQA9GMIT2JSJYZj/WMvavoZrWdZ+TfTTJ10nc3R
LnTI3MYHUMCGnUQBgUkBy3MIZQ/FPv02+tGVQow2CzYquZnxdKqxOisrnaRzOsiyzphEa6+zeTKX
eYRaSmN4YVJq1MrdawXfFqj8fUubfbeoE9rk+6FHy9QMCxA7LBV4b72rTgD6L0mIhilGsRwLBV64
+AJc8DlAGALR8nVO2SxugtK/gTedx4M8hXw4trAej6spoPK2qPpMNe8RnMy9qP/E8nWvbRmcurLY
I9H7NaoXQH3r04wFL2k9VH4+ggcJo6LL/L5InVlqFG3Vk3X1WzsDIaja6uChjEbDEo6JqJBgUYiW
p3XvX1oxnHhL/cSO4+eALg4WuUSxyKObWowYwlAON01g+tMsFCDfGgMOQiFbdKAjdF+nLC4Tk06G
UAlM/YGun5Fn2ouh4be1xs3tC1HdeUCIk2oaPyosEdeN5McgJkB4vX7ZV90U3Uz1LNDDWXxruqLJ
WKoybaFBIVbQVXDyXbYHKVgmbASBTeewvHNK392vPQr+oaw55kX4JboV+Iy18MvcWXhz8P2ZA8Or
vX1TbVHAFcE2NgM8R6L7IIrCBQaxOMiJTfWOQoPdUevzfBTK2yvpi7zzmyssc2f0Gjdt5x7VUq5Z
LaLPYm1YAu+Z5mSq/WzRS5O7Rbjsgafx3GkqgC7UXbCuDvFeNaDdmnnU+9gD/i3Qg2YOghP3nQ2j
ve4DlLuu0xwcB3iOMdxHGeyTO45pQolY8ZcOMwMtwRy2i0qioHxalKWy7HOCOAb46rY+BZgOsC+9
6nHxplt0aF1eAWtIpOq/Sg6buK4YIkBDTE99jNR56W4R1nW7RbXXvdkpaL50yJ4kUxV3h0Ujr+vN
KIOhUbs3AQDMpOrRVtS474k/En2ILOzxylLM+wh1/b0VwD6dJizAfAhycFSz0wG6lqLDQAFQ6ImI
AeXAzgFwQxtQi42NsrEXPGWmYXerO981s75nVkAhgUpfp9zjF0gO6oCAw6fq1q/KNdVO9a5OeMzH
6xqweurPDKX3wI5ssZBkSWjQlXT03iP6qY6lIpmjNHTSyptdF/p4/83iU4UrgbBUNRw9djVAa1ge
XWJdtHAlS6HPnzo4F7m1i5vERmM3RzfeI+8I56DM664jJ0Lhp/j+F4NJBmjPq0cxNKew6W4tmAtC
wuspeCtC76zRgL6ggfqwTF3NlJCkGxEjjqy2VxpJpUMcb+LVCKGrbJ0rD1er+upsDP0cEOxJ3ZVf
O9ZxExOHT2uEXGbdrGgJJvF9ChHWRJbrKJvlDkn2K1hCCBJuJCzIA+i8tQvUxlTAZBc5gxAIoUfj
P+8mr0/DyUd7t+ArdAdxo0n5wOfizZH6tadYHiKnN1nYjufauu9zy1g+tWCfzCTLnatd0Jg+wqwU
gE8zoZdaXcgzk7mGSfOsGZSskNDbeA6jRIqwO4LXxn+pwOPolpu0V/KsG+eADECXGlrsGkcONzWo
5ARYmpOQOc7UPH5MYGuSwAB6qTz2ivJBBLns5uvOU98kDY+dDl7QkQTHWrhJM65fEVhELE/OB/zR
fFd5YACEu4KsCS9Vg1UmlgQjG2zaxoCIjXQB0LEDyEB4ATXCnbW9w/ycK+5NIDBq/lVF8SHs/Itb
9ntCh32JOB6+03TmLv538F5FdZ1Otf6c6hB2sIV2JJej2vwfvXl7tL1DhIpgL9Ap95dzpfidgHXk
1tUjh5VUse4Qbt6ShsnEa5UivzImXTGFiYARVSAiWoNKcyYolDCqUMZ/FBp+EPYxsuynyJsijIBB
c16y7t6pgVv9tzb6URvRf8m7/naeQPI+fsVBB3+ukbZf/r1G+qHXhxQuNMWJ3Yhl/dReYZxbiJYG
3RMOrPh5JIQf/A0ACfR9RAqQkXcomqLfayRAtMzDfEccO4cEFv7Z/6RG+vNEgwCBBpyTE3qAX3Fy
4a/NlV9hTQPpTy+VeFunyzz/VjsjmfLXUC3deN+fYAj4AZgtTGEGwFtAbYco8K9X0MVEFWaZ6AsS
qbnn9Z9LTy+8aO6DUX0ia5WNzVhngmKgjEu6oxfGB0Sy8Hb0kJgJkxif4++7cDyQyXlsdLWjU/+d
cASavW05G+cU4BjiaBW/gUsZtFe+UQP4PzFBetkkphI3MQ2qQSw7Xy4r0hFOcJyrqfi0gXPt+wgi
ZYuqw4zSmn8fvI21R+gxp5MXJaNTkpcG46CyuKXfdDWLnXLDMqUtBjPAPJbYJKMbKF8k59H4Eo+l
nyNLvw0nova2wbwXFF1S7VxwvwkSfWcz1m+t510htpLFsViubGmGA+/koevUmo2IhxcB38OovsaG
6ifr2r0RxwYJSJlP0ZIbNcPExUyadadplEFhfwgbkRCnP/pD/NY6BNFnfVLgadEdL3dzG52ade6S
ch0zV7WnIQzfC9fYBAL9ocRSo9v6XSHwCz8CPXAQHXjZ3BDk9oPOQubyXhFqPcU6PIghuKLdALPV
M9fcXzMm/HzshwNbBpSsNH5qoHpCY+S3Y4HKb1pRONfOaz94CpxSc6KEPirutpuP3oLmow+ACGRa
TTNWw6g+LqAXk6ABqlg0bA8adUoka980jXPrjCm+i810VGaHqMcJiE0aU/NMpZ/aKriwCbChWm/a
mt5XougSTCvYh9RcIz15lIs9lnPzXBkotSK2B27sVeXxB+ZKGFQNf0ZQ4wm12TMr9E6OsNzXAMnz
8Y1R1aNFiPfEn14l/ngI+/OeLOv3lof5ElbpWASZ385XvW2iBBHcPqFLh380wq5HwyIpWfiGtwAW
QvNaFkWTzBMKH6I1Hpvhc5HNIVJNTv3+bVNpCXEeJgizSVs0mZnj1An417Ut7lpsUxjKVF61mIKy
x34DrpiEjxUCykOvq7SsS4zaEuJr7CLpRvrK5BEA4OtoA6brmq0Z6V2TBeyhiemLxuiNHUHoEJbJ
9vY09sFxmzPR0DKR6RyyYJjHhLjB/RyB29AL2EMDyCDBPIopjzmMJo8is2IndikR/8nrgD05sISA
WRfRVwSvwY1AVsQe2jON9xuDy6ZULAQeelObGq1Tza6GnmFSGW4FkOIeeARBz99wWWUY6DRiXgJx
crXSKcFkkvZeRgyToYSGkY4qNaowv0MN41khEdRjkgi2erDkrg/C3PWG6QAsq8nLWl8xt4Rk3Pbd
3l0hCCPRna+zBxWU8j6XahtqJmp+E3KHtykn0x2myZVpUfTfgnV5Ggv/PWyhYfjudQOVNo3hQWYL
J1dFixlgLncDgDnBjLJPigc4XwSvaljwZ91299agkoDvekORwsXKko4NzdD4Yvxd351hqmBBdPGh
w62qQO3Uw1bDGnUqwRAjPY2BZ1CXVnXFG7KvArgX3HluR5P6iCjYGGOzurl9o00RJBNKAxsVDOFs
Z04KWodfe4vM1gr+B9lGjGx4bF1hd2BA934oa3Q5Q5RW0doiOlCP12vUXnyvP7TgA9yBwT1EOzAL
TKlabZBhyTt6bqHzEpPfjnwxXxjpH4UnQLIkmmcTurEcqTAB9Ftr8CBMvnUbKQ5f53OYKge9DwbP
4XIU9TyjN9Ln45IubQietKnMvqNi2WPpr56LAVfwNH/shF9nLnbPk17G5sSb8tLFAUOs1Y+OaH6r
hMrwMRgwOSWhDUXu2gOWvdCi2KEZeGTF8hh1wfqCcRzoE7ScdoEu3SS0804tEdn3jun2chnQfuMX
EzSM+mWsebTbUkFASGpUcijT1IGaDl+x7Xd+JBAWFfKVmf7Y2Xo3h0uuJ3njLOGpHZYvTtXkpkZK
XPbVF809UEFDfEZc1UDjbsZMFhzxO43JIb3jvGLeip/5Mx1eNOvdrJfgENsKD3qIFgTCnf/izbF6
KLxgxpQ1EoNadpbfyrd/uj1Dpf1pc442ARewKkoNjAOEsrpJMT+Tip4QDOnApsOECpiN83pEMP/O
jtPuJ+HoLwDcTQ3+i+tQnBYS+rAG/1QEYBAMwKiquwjOryfmfcGqdBsJ8YblckQ8IcYXsPCDmfsd
j9rD5FVXlfEQu+jOWKmugmJKmri9qwp0f4OT+xVi77GCJ1R8SM0MxlYEQNWjC3NKlGt/aF5/8dH/
8pODZoCWRQOfberXz3coEFpCUWwx50WUSbk8Og0GY8irf32RGGrYr/cHMhnOYQCgjDuERMk/fA+T
htksWozCwiiMCdoyPfoSC4NTACtvjAnygpgXDGmSd12MZxC2jo0shZHZY6HyYXM2Apzxqu905ccP
HXYlwG0XsBgcb4nFVu4hKx/I8lIDmpqLAPfcw3vDhOXJEgfrfeDy91bx1OVlvV/tAJPWZXmFlEfe
Kv8bGT2oy+PWowwM8/ZiN5WDD71kbBNsRShtKnYcVu+jpuH7DGVcB06dzCG/XlaovCGGTIHvsM21
U/UiWWf4gaWraqhBTYhep3wqtCseBxtg/3DLq0Bg7ObEenVgEKmNxBbn9n6yYFJZ3jveDciTLptX
CD2uz68K510jyBqER6yLrxEB5h9a97A09JVv40W6vluTHm2TDyV9pSg9INK3GUIoMpuJOIxKBGgC
55N2zHuLCO+3hQd7hyHCGvLq2pMrogfTsKv9CS6+N98LxvglhqjisnU+D+H0W278n76V7l8+D3gh
IzwOkeP+OI/456eu8DFnBD9Tl9D13v14EtnaG35hBBg/1tO3cgowunCqUpfNWVTzMcGKeo27grBJ
1YYHzKK8VpgCYlfvOpDRi0+7ajeJYADe4sD2DqB7lkjwgPw0Ue5IitAtNvXMYlBHBgwO9QgWIkdI
aH/B8FCKek7dapLYDTRGhmKIa9cPO0zrQbKdvW9yLmgbiRyt8L4wb0HtvJSZj2wZgxuTjgGklNGy
lyZiR1t431k4b3EcLAMgA1k3PxZxcxWC4Buk/8CCBU9In+jFewiMuW6b6mGog3sRxnu2qJeoRZoG
daOTs0GjFhxMPmlrtjkKAFsaqDmFh52DkXeCZyLtY//V9cmLW5kBaSfMaapCZ2dWAnNklggljXvH
aY5IcOeexJigymS0hf8TRfYcYripdc2EbR6AH1ePwEovcTQfJ7m8+9b5Nvg41DaEBb/gc+oua017
IxHLCzu2s5JmVQh/qO7C1Ivru7Yn7RGDm3LMH8kZB3PT/xhIW6IvwctoSHwH5+mzDslmzTsp1c1O
KeRk2ISxGchwuy7DlB9/X/sDviW3FDnCEqndKtRWV1fELfLWtc9gKDZY5jaAQlpWEkAGOQvs4pXF
DFGXv5p+2g2YU4O5GTRztzATL+xOYXvvRtEjGzI0GW/JHurbeW3gnMcIoVm3tOnkYNFdPXfXuFES
2OgW+sOh7NS5tMNVFwWoehXHIJ4eHO7CwxMt7bn3Gvh0ErOp/L52McoK0TKM0yETugTOMHINI4N0
2CEBfsuCPAR9YaMLools2Ul6+F/2zmu3cSzrwq8yL8ACc7hlULRkOYcbwmW7mHPm0/8fqzq4XNU2
Gv9tYzBAY6YtShR19jl7r/UtZkR3pYg4JBMPOsNxj478WRxCxuh9H/O23BtOo0mSY8R+vh56dIzs
GzbwRhu4Dsam7tmFGMUiwvdR+/u19Elp+93K/eaXqizH3zfWAjm0ptgqE1g61P2+OWQ5/NQ+s/3h
PKkPEieWj0vFz9NQKjaV4u313h2n5TDMOV2wMhTFqwRMbbxcpMLB/aBuPr7Qwqr8pSbpTHJJYUPQ
p2pLZXzzyYam7asYn/ZxlqYA+MbYOJEvX2tNAJGmQCjEyGBflhEgXEmUDuaif9Vj2mdzPIvewOs6
jSR8A4d5MeaKyVCyu8Xsfl6IxlXK9o1TD5ZL+WoMUKjnbbDK2ugxx5AjhGl5GXSoWLQQQhNWs71G
y4+NhTdJYIvZ4q3zVjHuwDRelTPyBUXbdUq7BWywn4Npq4Eeg/azrynbyD72iYyQuhMW3ayDWvgu
K2svSv3tUNITTLGbtlqGZg9dCui3h2q06jt50cbT5As+uas/91t+fH1vb+o7dSQS/jyqfXM8muNj
OH+dzM9AeJ98acvj+uZLE4WUPXKQTMfIvCpjy66Um08ei48v8B7amelZIiZyMB01+RQhjeE2ieHk
fHyR5S68MdB8f8gRI5gIUnWyufV3j95oNMgNVT4FLU0aue2QsSe5Ya7wybexxCa8udDSnGLOaDCN
pPnF1vQ7+/DN7ZqQ9Q3BXKIot6Vnipp7na58V/BA5Dl3dm7fbXWnP/t6GTnh7eg9pd70lV90s1G2
H3/gJYbnzRv55Wf9/Y2+eSNWH1mlFbCMtKveFR3RG6+6dXYRrizPctJ6Ja25zyvJqW0GZJ7llr2n
HvPnj9+F9rt38fbpXBafN+8i9RvU9TX3/X7cyp5htyvrZNjnOERCd32nOWe6m62tY7gaN/mVtrn2
3WA9blj37HkNsBV9n524lovQfwNc8Ty0w9EO3Fs4GEeoIWtta22LPVKEm2x19fFbVz77Yb3bQQty
E6WQYnku7cIuV81ruSqvJbdywJO7oRt5KDh2xfr0fOZ1W83hwB7vYtvaxcfAofig9LNffOf243cl
/9z8/OXnrr+rDlgy+xp92nQMt5YdOvMmW/vXsKITBsa2bgP+ciYb3sex2siPNNK8j6+//E4++h29
W21YaoSpKafxKM6FZwzDnpnWse+w2n98nWVV+eg671YdMzKVvp9T+DQBLJDhWRw3g/51UrxKbGlF
rT6+2u+/6r9Wh/eHSSFj8dequDuGRsLJ77IMLv5/F3h35oNQk+p6xgEq0fZyTB/QMtyPr/DJF/Oe
Vkq6gJkD/Z+OBabrLFmV8v3cmZ98K5/dp3eraCOlTdwbcXscl28FPag1xs7/73O8e8C6Ym66vAFM
NPSjE+lHKJfIR08fX+STp8t4tyrpfiBMNOeoBqPuqFbuJWl7rkC7MxDixoN87IPok1v32++HLBY0
KGhbrGX88nYhxEKh+GXUdkc1+1bHqwQUf6KvP/5Yv/163lzj3Y8mDaxGwLQzHjUyGwTxIss+6Sp8
doF3SyJa3xFcRNUfRRZtmtGJkn5ym77Xx49++EtBeVMw0AKYGPV4jjkb2JUT7PpNcuCI4OxqJ/SC
c4ar+4/v2mLd/HCtWT71m0tK9P+kVg6pUfc0hnNW1UPAte3hCVrutrdPs1Pyf9iah77fNi8E+5KY
Cqr66aE6KTtO7bitvKm1N7kTrj97e78t5G+3Lu+fnKhmEu/zo5POl0Iu2A3CkW0uOXayVt273N6h
i99/E78u8pWbaQ+c45PVa3GwfniH3n3vvdDoYWVN7CVcHAYulmcZi+U+dS+to36mrDv3QV75dk7H
dlWvyzXYgU9W6M/egvGu7kGJENR8KNujsC9s/KezHb9oK8k19t3ruCm97MxY49/4hqvNGdfJeeDG
r588J78vvX9XiXfPSdIrGVZQHs16Na5A1tjRsqvbJs51vx23WxIx7PmIaPsOipSbrcq1cUJV5HYe
+k87fEw/WSm/y1R/+an8/XPX3t0SU7CYDREbeKw8da1jnXXH1byaz2Bm2c/B1l8ljrktNzT1zkbH
uPFMdge5166T1VXkLpuEPzYH/9nHZarQXy3eX0KYjk8lLeC/Axx+8AaXv/lzYr+EGusYwYGdk6n5
3SH+RtWoM30n0wMwgkqi6l+qRjKYTPTJyJ7/sIjzq/xzYm8ieMQYSuubYTu9SfPfTOwVcSmqfz9J
HFqw8oHp/x4UhhBAeVfX66rJVK2X53Pg3RnDrpaVxEoYOWvTjRRXaz80n9VBqly/7L6KHQEjOp1S
cVT3jeanbpUINyiaXYBSB22GDKW1mHb8tLXFIDrX8RpNvnkSU1TFkdTJYNzENRbQw6BoZ0VWrCHB
brpYPkflq9qmPmOTDhi6tfpA667oVq0ivQp6vsdljwe7V4ODoScMNEqoPWaleZO8GGUEcU2jZivi
pEZAbd4apXJq5PRcs9oIu0pOV0PpU2wQEyM7nAmTZl0wA7oK4M3mePixgMcM31MkhVOrvg5FEBPA
1JVPect1Jq1fzwLCQwUfoKBLm0xIxFUwSrCb0yH0WisSW0cOSnq+QeLJ5cC8mLa8y1jfiVJtZVXp
Vwywbjvx1su+WXcV+iunQNY5ztiaDDFcFUOyqfPcG4OWBjU9ulpNpa08FXtFTKOdhOPPzyf40bVI
mz7BawcF1rEG/QqQq76azJr8GvwooAJr9Zw9J0Oljm7KbOm21mjp1jRYsBMEbEgDUDn4j01gXseC
iZpJUDbq5L+KqghICmIr2o7MRZ+H2wT508L72xQhU5MqycTrybQa4JPaNstxsalBeSlJ6WbEx+mE
WiI5wUyTtogaf6vjQLQlMYE/GVurKEf+PYfR5FVwqG0tSJ6h5qPHqhaDvDDLl1ZFI3DWEg9qPU4a
UQpdoZVorw6ilZCkI2cHOEv5VmcsugmWzKkByti2BAo0GipiMRVBqS4bMUpKLa02Nc0l/8rEFLiT
9PCFSKjSM/3E2s1lGDGcqLd1FVyDDecc3MobVSjhArQoz8JO83r4V8jFin1u1oemyb4VI3JCdR72
4tjfl81k2NCpbzu5Qk2nWIrT+yX0RFP0sIKfwa8+yzJRdWozxjZm4tssgnU7aId8NvlJCLftINGU
HeZNLDOMAF15jrpu3ZnSSovi3KZhUdhW0qxjQz5L8YbbdEsf5xIAu5jcWCPQykzzt4Fcaeseu5AT
S1Xk1TGTySjMnywxOYSBgHIsgA1gWYc8tTat1hfOYAgvkR/dYDVjiyXQgIhl8UWJylu43q4QpMi9
CP996mvNEyThoYcKBKTRPCgjjE5p0pMLAFSPbdnvG1qGxtzsJ62krafugwixa1No5yNhVgfav+sU
frZXGvoeyK9T14vUTg4vGf13dhJNj7JxnQieOpn7MopWFtI+Bg4RGVOlcB31hoTLIr0waWE7clE/
lEJ7Geud7+TCfAo1v3B0pXWVgdY3HAZB0Ddzg4Sm9WkRizXeBHoPdhpaByTiW4NeepQxyVL51kHq
7HtjDNZJNj9aOtyxFvSEDl5Oq2MsnHHg0K4864Z5a5XRV1krRRtKu2tmg2WXUXzVptpXqw4rtxsZ
E+SVcYtINnekzOdHTMse/lXroXBhR2DN6QgGG6HHDw7RfxV3KVH/XHHd1/R/R3io7ODel93lD/8q
u8oXTTIsSu8fVqQ3Qjlij6nD4FwUy/pJKLdkJ4kiPBedFjXMnaUv9EfZBRwJvR3XO0Z4BUQwm9R/
4UP6+USoiSqwRvqEOKWwIKk/wI5vjh1MR+ImnXMZ8N+4EZPozAgSR+k/G8jDnfqpuvNJ2FUg7LOY
yTMQ/mVUTmBGgpQ6GU6aBpeiDURT9bS522URsp5CDrBDsiAg5SrO2eOfVUl5Y8hMZssGG/hA7ISX
1FKCzgzDITYgsmMQt9mCRqHHaXs/NCVedTPEgLN4AMImvSq5oCOX6akQI0APRo6RuZKZMIFZdxTk
6+jLzX2VjQ7ISn7qEM1duszo5pN85ev9SlY17Kjw7twmGRFB08I3jQNEL8vmY96Halo4/ahdEeBy
KWTjURC0I8IwLIEDmlrilrYA2I+DnwUAZqUb4BUpe5EeQ/6Cxuj69gKO+4o0qDvLrF/lwHgMsumh
njNUUoyOXHJRTlrt73Uji1a0eze65dfrhuG0o9T1TaEHm8ik2qRhuOew/zUfwmTVZ2Lp6v2EOKQY
S1foFiG7WsAQbudHKcsWtG98rppQexkHs31R3GoRoxnSDVXqUCCOYfAxXRpVtwY1vQn0QMAtQbjG
oCoRNDRyNEJZw5NdptQo1DaG9Wi1mSfiHu0qqkHTqQkeatGlD84mqInXidF9MycEO6KuHYS+A/yR
Y9YACYpVfTrKA4T/iW7sEEqQAaX0BFA/XinKsJ4z9RAEfmC3krq2eu5tOLAlFHSwBiW6QPjUG2wt
l0U+T64yN7eRTjphAFzdVtr0qhm6LdrJ3q0V8ZlWC1KHYbpNo0hbj8p8Lo/ECzZh3MOBr1+kVH6R
hxQszihtipSVWlMlGDnDGlfLRUZNGknxOjOUOXf0NH+e4/I+NBhWZ3pxDZ0mdtXKSDZDp6wNA32U
4q8QrYN55xEj8lBlfyZRLZ/yuAjq1WwKWMI1HTmaJI4Jgs5JrgkWICogd0VjWEnmsCjU63GXphp5
exN8AV/a1qrywi5kG2kS096iJiYwKfvbRFMWHT2lHEFEtEBnRilyk1jeKqW6kbCktCIWHrN6grF0
KSXCK2i5xK7QRRU8jTgnemDdTUvUwuCyA5S2OOnxgAz9mVmDLFpoe1i02SQ1fbR4/IYHPTYaNonl
IYhE32nKEa7TkqvQnJVx4vZtsxmGdtEpIQ20YqePReInCjZO/GSVPDlBetmngrCdU3oGYRCG6Ncm
zEl99KIPmO/jIVYg6UuXBJ0Ad2xfE+hLDkdwO9fLe9z1hKBuQ7Um8ULYMBR9GmPxcdamxDHSqbGn
9DFVryBa4OjodmWxEBGg/wBElVfiYthRWztkbD4o6qYHv1lLIe4Z9AgIyeJ2JUp4ioJeRfBF9R+L
wfWFmm3XUK47KT+fiuGhLtgmRJN6S1ybeSgFgnWuF3Z2YKq1vym+gzPfFJjTj8PQW5bv+8Y7q+ii
nANPpCGuFqX3MN+mgdfhT/p0GsAX2Ora341XxWEb045+yu9KL9mi37f9PYSgzo3Xn81zfj6iLYs4
l4fOwoEP6TNuhp+bVLXfab2gd/OpN55Kf2vRBrfGRwGt6cef83fXkZezKEI4XRXFd90mq6VmReRb
nKTojGw5O01frWC7aDQ+vs7P1e/H5+F+UgMZ5SJmf9errCq11DopFBnR72v9vFSgc6h3H19jEcm/
Odf+cZE3H+bdRbpQFBs5WW7aqrklWdXrN+KL6ZoAGw4Zz5h9WXu40lby5uZouql97A/R6rbxfO8i
3g32BvL7WevyL7rFiv96tx+/P3m5mX+fu3+8v8WBbCiIPZGyv3t/KRldoLZE6YR17+hfiJ54kO6C
HbFWgtPRotk9SOvROVarYYMeJtujeLjA07Qa7D+aSf9tJJdG4j9vJA+v9fPry6+7yOWv/tpFil/E
pcuiKQh88X7yf/3VvJG+yEQAkg5nGRJ8fb7fv93sjJplY6FR4kvlp/vXLlIBj4T/3bBIPALb/S8t
qWh7f3qIaN5gtdBp3nB2B3wDbfDnlUER5AHCb5KcS6La1ju6HaXoRH2mCiBPSOH0Mr3OJmhicXUh
GYnbydl2rrMNLUvRx1O6cHEGYpRa85YoInoTUX/NvrnmjItw+t5fUBl6mzMYQ9nhEIECR2PRdsZY
TEtZAy8HbaNIpvNRSHsb78YTdiXmoXWyLyF0kFETIpWpb0fYHQBacRmY4+0sDi86dA9+97yAMpeb
YNRWBK4VGxK0cdXH3/qilr0sznR2IABDyqFN2MhlJ0FVsMSJU7vsFs5NOCPsUXMby4DIlgm34Fib
m14vEWEnhAPo8oO6AEuGgoyBfoGYFEwwPGsBmxBLl3pWbZjIiXyYJFV43yVV6+ZameCCJcx3LkXy
jcM8BbajCOSR6224wekRENFbSoZiy4Yw2WMqpBsiGqgCaqytG5ohe7HKg0ujNcY7va8R8Bq0rJsx
0s4juFlOIEXSkTwEuOWqfArzgtCsBo2+XhktmWRxswoL8oHsPuPScmwCz63aDUkfdN/Dmh1LL43U
xsRvdrFU5xekUCh7s6wX1bI10URo8I9GO9WgVbWlhSAkK3lIiBMFTvBVqhTV7ajmRhXHh5Dw4s43
oVyh3gtzkkLQgK1EwIJqbKE2/+7jU+rkFaTWXdUkZ4UIaykzhnUKSsUxNO1QW8KhEeCYh1nkamV6
OYb5rpTrB1lIzuIhIllEzq6VIBy8dmklQixhz33MsxE4TNgaCQCqKZI9RemVGHJVGM8HSaMRJSaD
l5Qx4BCVmPJkCrddtvgdfBzFI11VL5uD53lku+ZjrQWChcW6wDtsa1YeOmqtPaMarW1NFRNnlFFw
KeHodVKLkXi6gRw+0urLNTfqkcWTp63Yvq8e6TtmLnR8aDTIFKGMwF+M+DdjXjeULM+YyFhKxAVB
pln02GdSLaYwYjgzikdDG0TOS6CbyKJtdqLY7nXqqdNqoG6itAGtl8mP+ohnxZ+Kq8EYI+LVBwv6
Mg68ih22BbAHNKSK+sEwXjM/eEkLMyVCG5xNzJQpFuITAZoDz4DsSWJnOBhFkbxJtC3yYrBWJo++
KKmgoEXwCq6vtUwzhaCYAQnFRpHs8qYtrr8vm//VD5EB5D/XDxKcn3oAe82vJWT5w7clhCBmC34J
zXddRWL3VwkRv1hUfs7mEiMA9pZ/lxDzC2BpmAY65UP5UXj+7P8bXwB0UkUME03/Qkv5N40IgH2/
lBBGDJQincdKRg/I+3s7Ac0DE/t3b+I7oEm/geK6pm+IVU0Z9p3RT1A75OZs7OQC5A+gcmvsTsjq
MLbn2ddalQu3ERqITaHmWQoujGDQFTjYNL6x1DOoEwbZDVvg6ka1mIaGMTtVgXUXahiuiL5hYCfO
e6L6zmpN3ZiFhVFeCNcAl+58iHAOvpLDXE/QQuBQbRDN7oIs5qCuarvZjMDqqcaBAnkTaGVnt5F5
YQ2UubyOLlqxfpI1FXioFtz2mYbolORcsiLJKoAudNBz4270k8aRwLNbaXGnI0C0EulsMNJrQcsO
LfxXh/S4m7z26VtKpID6iHhn9TLP45UUCA8yOuagClatWKFOrMuz0ijuGfcclTCL7VAb1/QpqE66
+tSmJmPkMeUQbbQe/qnQBiWTuko9ooD3q8kzzZwa1fcTdrXsvAZMiyFBoe8uI30fuuOQslYH8yCt
4aCvYihQY8LKRcc9dwR5Pim+/iy35XXSTavBxB6tBPlpVJkMhNk2krOWCKfmpHfGTVj5KDDV6V6P
aA5Eg1a6+BVwK+VRsVKiqQELbKzber6ox9xYSWG6G6X0NVw6JGaLJDuskY6lsu+AHz2Pe0PGgWls
RjO4qmBP0Z7HOobaV58AxMumuIoMxhIEW3hRO8deq7T9uu7M+1CHUdBVxCOkRbSWGCfYSVY8J4Ze
uHE7xVjHJAwcZMEtZ+h22oBCi+0si7/WtfKK8YE5jRhsgko90i7Zjj0y5EnsMy+eUvVW0RIiQycT
s7gfER9WkTKgb1NNIpwyXNVmkKwkcku9aRyRBQZMhsyuRLKda13rDb1wEZXDizUnQ+1QR2I6ytV6
rrCPGW2F97CSHY4xG0svQvpo1CUU9iamT3MjCwFWoHp8IlHzmgAmly6OJ6IBD3h0eY6su4JS54RV
218BbKi8yApGj2YNjCFS4zDgd5LXptggFC29tHqSwWVfscl93uaWfub3jcTuBi05zkp+FwZBSmZc
slNZvGckiokrWI+pIxLNt59ktgdC+KwEg3rR+tmlWavi4rqrIXnxWUIw5g5OD69RixRv63xeFPxS
4oxNExEOJ9/QzsKMc3spIivRY25grj+2rbRriotIVTEz1ubJNDN/O+rFcWQcZvftsLPk4kVt0tKu
pvgpU7MSKXaTuMIoJG4583wMGrkMaoVDI5yFtTI58fwoB8pLX5/FMYL4wYuKagIuzWPQZ/7TNJMM
KE/VwZ8TiQQnwhRosOQS9MupCm+FIHlNOn4ycl7wbC9+D6vaZiijoIkRkdan6TV5y9+svhicYOS5
g1a5pj8XeCqpDPTj5tbugyo/E+RRO0h5di1E8NLGnvxSE2+rZ1izj0mk53DmM3kIamRv4dAf+jox
KdZ0W1IrugprnmZNDWgYpXGI7YFvnFRT1DLTfFH4pQ4lCrpZk/XoSibhUqnqDi4HP6xwrogh6XVS
jZPEXzHSid2iatUN4V/AVMJdQgiw3SnVBebmfVo0V6IvYu6NCmxt/c4nr8BT5pkdRVMwaCHKTarv
EwuesKc3uR47TRfvu45NMKMNJZNX0eDTC4yjhgyyIFR/qIX+2xMsTZF/3hN46f/con56KX6zJ+AP
/9wT4OIHaGaJhsIJUgFG9mZPIH2RaAsgypd1BGML7f/PYyWoXp3UeQz+3536SyX/c0+wbBeWY6Am
mcse49/tCVT55wbNcqzkdeh2iapCf4bX/XlPUAX+qAk4Vc5JF70d8omep1K5AuMU24ib+kQqebDJ
acDeayozU4thKwZwsiPMDNJQI/T5DuU8M76Zvp/oq3f8+A2s+SaGRfzsq1kF6pNFM/5s0sCdVu0K
hsJWz9y7GVgA5ityl8klHM0QdLZxYxFpQ6cyX+kzxk9DK3b0V4JNrRjbNhrvfECG4HrKK0ZvEzb/
yNpIYvCcqzRXFXEPseZYiAzlYKxLtljH0mrSJA67g3CWDtF6qmheMyffUzce/FbetXrZkOvcXYl9
kK7IM2JsOOiiDcbnq07W4QaXMCvfqE0rqxhf9UJ/pRkQu4BsOrep+oM1Kvc5o/Nd2aUFVDLzSe7D
ixDv3Ja3+Wzl2XmiwTxR8JsIoV4UtyNocU8WpXUi+cVaK/UnuCSroIDf4bPGzVr2qqeSNxKaKBVp
uVaF8MWoh8sBo8gGarEJe10jxHkg1CaOBN3rhPHcCAcFTLF8G/nmoVd8VlxZ+s4YKHBcDdCE8mSN
d32r6O0jqcXEtiot4gSSIOdZHfamON2aKcad09iAeCvbcYa6QpvVOguF8tvchXjrqcleE3fEfI8G
3uBl2plF7MyqKLa2ZTWFF0oi30AgiYjm4pgum6E9B4nyMIuGjX3PsrrrTk+DI3z7cjcTdUMGrZBs
aBfAHRUvJSoSjWuTCsvWxE7E6HbZsjAoRuKqCCyTSoAdqNTL0dWKlpasUJyC2PdtnaMwipdr8uop
OHH90nUM21J9p3Y5t5hESj8e70otejGU7MwXMCflUoX2DwsfgM/uSYWJC1RdeRDk9JGRDV7swFgD
seW0GcYbWWTDYxSNO3Yz7ncYudUy288Td8SHmKfJme4bB6kDeWlOE6DP/JvIcc6j06Hb+NLg0iSB
hlMrfsZfdq/J8HHC8TIN27OpF67ZBz+2tGAZPOG86IQ9HvqjqPg3Yx7vpyHj2/Ll2yCDjx/W/rU/
GnvOiKTzyIG6UkpmIYlpHXNZffCN4YYDyAyqOI05TDKmIU/9a6Nal0ONZL2sUezAADSN/nyQ1Etl
4rNkfnRRN9IW2KODuWIXlIPd6TiwBO1rMLW3ywgsyDWYW9p5GM0bpc4wIkfszZvpXutMcx0HcK+T
CNcFyxwk4EqAWbaAgXwy4p0+qu/rJtspFmY3Rd4CfL4Fx4yzB7OyUynDtuQk7fDAgvMS0kuYV1/p
2QDISTAozrq5XkKHPSg2pue3ReMRlkoDwCJPQWXLHJdZTJJ36YyNtDJloF7LissqJRU0avpTgT2T
DWYrrrp+ughECK8SAQMit4A16UKZ9EPcWc+avtA3DP2G7ttBUasYDRCMpp42AOloLHF1OBPsJV7J
Vr5KDUDC8iKjagCsWZKWbjJ2elLasnNHWOLoPG/dHFzRrftqZHB4Atk8wIj010EgCCtmwpf0lWrg
YuhoJtn4KhPw7kl5atqqXnqTggkzi2QVnOK0SuAA1e3sX8XVjC2wlq7zqEd4RKTGcxkKR50wacyB
rBFRdDeE/XlthZtMM7/NjFW8lsMMgC0R4BnNLCdqNIE0jmbO7jJIcsFhxpWDCguGtCppe82sry12
p+CcDKI+5+KxmCOLQ0SvoNGY7/3ewhPXN1/1VqicuatP0E+OYSCdK5r/ODbdN6nD/a/k9S6dZS8J
1NTrWu2iS+YD0W5kuYp1weevPDMdz0RyDUGy4WzQBo5ebGSvlRH6lU8QbhHfxj1qmATzM+9mvocF
fmiq6TbThgugGSeeB27C2N1kCZnvGtsnWiCp3Yv5mvNsx1CsvcqV6SgB3RbHeK+K400uE3Craic9
aNzSUnPyXvlVg43Asqsz6tNUipwOKjOKsZnlIkZL1lh3iMpNXuWbOm5nWL4Ny47eshIpk61J8D51
CaiCXsbbeTbFrZAQ4R7rCLsizgzg/OQtIrDItdK48wqlRIku1gSxwJ2zg5HRs0zaw3+dmh98JYQa
/7wru4pe69+ClfirP7dkMp1+wngwT7NT1r7DH/9q00gMAUz5O2uAFsmCNfh7S0YmLgc7RQOvAGGJ
F/xzS2Z94UXkxXO9yCuXIcC/0IsAcHrfpoGphG2SaRGbP9l67wydaSmEchGJ56hU6HhmHKR16bEI
XkSL3YEfQaDMzyKTBzwaLPlsKPnfa9k415madlW5AqZyCUb9sWlmR5wEJElJeJ/X2rqiE095PZQ0
mTnIPEjgUe0UhPtsJPtWMxobezhLZdDdlGN+jU6zsjtLTJ0KRjlnl/LBjyNX1+S9BpAwk6qnOSQW
K57vZU7JTja2u1DLPdwihpPM0abpKobM+XxPLd0gnYgcDNKn0Qgf4iy/mc3izIqre2Sz1A5N/iYM
+R2HpFt4I2xfOjL8LGE1G/OJjD5Sc6pyTf575wwQbc2oZc/oE5Fp+AMbQxYJYTLtIFfXRiWs6qYH
YZiZt9UgoytpJ2NLbKBEvLW6jynMmD+EjT5EEFQwVW46iGeFinMNpt1Q6pdD2V2is6tvUm16Skvy
fPSKqhiKd2KmsVWCll2K4yFISs0eAghOWpxvWoo7s/Nur6rNVrdoU1e+tpuklybPHwO/u5lMjWYu
/Cf44gO8JZgAaaUcUkN9VYyS3EdNumGuwaZEVHsAbwQPNAFtjqHXifyZNnFD34IcurKPoPtxz4Ig
Vd1hYiWqiU5q+/rYjq0Uer4RF+sWjcK4bwtQnrNaiu22MGlwt4Y1cYhs49gma7wGIxMRc+Ax9G6t
JzjlA4NuTW5dPRHHzB4VqKdOhiAPbo0aukFYVU6pWoesqyrM/8pzHtacqH3SdUhWDW1ZLvinQXSH
uXkGiKQSGlh9MzX4khNUIvzHLJ4S7ORAg1Yyl9PeUIyjEAIkbeWS1xB1uxDC+3RUH3JzHBD/9Fdl
R3amJZQR6g/tJS6bb/I0vs5tPdlEIt0G6K6x+CoHHMcTOxJ5X+dC5MVDq3ionU+jTNqTYiUbNawf
SIhqVwp5Cp7mmw+sy9AEVB0pkTG8wLwb7DwdKAIZMSM52RSOSID1IQ2EY/CQ9m4eBLt8jF/UkcDy
jOclD2jKzXs9z9dxUV4w1Qi9MBlvSiJFCOwJ1mmIIx+FCv0W/c4HSLnW+F9MvPbBXF2QwetMqtCc
Dc1DriFB8SehIHzTmCOXlxptkQYnuT0CfcWUzW4IXacee9Ld+cbjsLrswHRuE8RJs54fZ2KWxrz8
pltq7aRqX4urakrq5//qyve6ojBw/aCuPOX/W4FkeI6a59+c+Jc//qu8yF8W5jjwc81YzvXUkL/K
i/IFyQUTXOA4+s8nfuMLpvNFvvf3X/1ZXowvVBzKEjXr+/TgX00BfikuXF4lF5v/8KJL++CnGYCW
IoqM/Xo+n9u7yvSJYW1/7Dz+EULy86Ca0zivKqKfxNRA9J34vby9ETyiW+Z8RggW7GQBDN5KS2lU
aS8kgL75An4j1fn5k/x6naWz8eY6hSCVSOs1ALIsnlJNM//l4wu86438eoVF1/HmCoFEwxoujoSM
zbB79cawviGlZi06t7qeDAnRafqHstt00aktfGrJawwIPjjJxUWbYzgo4Yztdc7qUGMZX1x08dVA
hupoZZ/cConx0c8Kk3f3/F0XR4nAtQ/1ci8Uz+fkXpV3HQcvUEDnAxsGnxF3NH0zQCJX/KOpR87H
t+q7jucniQtvQKIppSOqVTVERT/fqpxAzrYXjemcHgGwDsmq07ME1wv8vlKF4o4AFLQ7aPhdjdpI
64ZLKaUrMdDDdXoREHy9IOHlkqMaeTsLpKzt6nWa3cuZsuNk0DCCF2LpZlQyRFeJFeNyMuE4xbFX
w/0q6ajLfYUEc0IXB411Pu/1yMsCXFGVwGF2XtejdcrkE2jlld/dNz498OYaX8QBGSMJJbrbA4KW
adsoaHAMyD1TXLqJdl2UMFN04M9zVXMTJaeTujNDzLwFVVLdN3FmT4JiV0MOQk29YNIej9m6pyd0
k2mpXcLe9wrrulV1F9GAHfdYarQoUF01qgjYMYE8F0n60AoofrK5tv+PvTPbjRtLt/SrNPqeBmdy
A336IoIxTwpJtizdEJIsc56HTfLp+6NddtrOoU7inAa6gSwUCjBcGhwR3Psf1lqfILPKo2v6N57O
L1Xjb+8Qg76fH3zzl8dFRoI04aGZLurG2Pq76dg+GBt3V18IqTm2W8J2VrCYlmRd4sHc0157w6Oy
S9btRt3Y6KXif5NVND88v/0+v3+42KP++HCZado52fyRLZIdmY9ERta4TtaV+m+Oo/mj/1c/55cD
j80h8seQnwM5Pb0fPlXBMuqWVCy2/28egl8SS7/+k358CH7Zr8LLTmtDRPolNJbxTYJad8DitJDN
CvBhcJH/7p/2Ryegxk4DCosQLpEUP7+ERGoM7IQM/SKRSZJh3Ss3f/1Y/zwc/tc/6Icf8Mtrp+aR
k/eBrl+a3usIjpLKsiGA6b/2Q345ZcUgbGhW/BDRH6aKiey9bj/99Y/4oyvpxxfql+Nx5K6ua7Kr
LnPe1MDiSrVvRXwWlFhfftB/9y7kFBFv1RSf2/81f+fXglB9EHLt//75j83XP5OXO3sRf/rDKm+j
drx2b/V4+9awC//WcM7/z//sX/7LVHE/lm//8T+fP2VRDhe1raPXluvld4YLXrM/L4/W9VuT/0Fd
pPJV3+oizX1HDB7iOnYh/0om/l4XoY5A2Mayg/sDvO4Pbbfzjj9jjSSKZ/ZNzkuSb3WR9W4WTWh0
3SQRozH9W3nGWDR/Oig4IIVuW8K2XEfjUWIu8PPTlGQk4oPoc86gRfdBW/X5qZX6SNJU1pclwq2o
mzaubEgjDbNg+FCIEAhKIXIi1ds4fByM5i4Lq9ELcQ8vZdttKhl4SKoRmau5Dsw+pbsR8YsxR9wZ
uRWtRoUMrXyyzlAvAJqlymOByA7Gw4PsCi25tkAW7sjf3wq6ktwBCUbMKL1EpJwTP3flAqYZPAEl
eBzLNryB3hTZN2E6OjdW7qKbN8HPYjjj81N4lp+p+b3tKMbaZzwoV82g+e2lUpow+tAx/wZUlciH
RBchRIuk2EZhHI9MvuuTjM297KxbKzBHQsrzD+qU3ncmMe1FWL5CucsWdti9ZC3YnHqOpNWMlzAn
OLBWzLPd6egthg9dGFlLgz2M0iuekjF5C2ZNglkSYemOkk1pDhpNM8MHVuAukv+ELbF1l7hwvuIS
cq8SfaKCvs8680014cc1GS+K5bZXhwxYxmikIUu+P+OLMnkajYDxtIy26oTcvppdE1nq3leppq+L
PMnZK88po7G+DVsSzfq+9jIZ7YyQtGUrC9EG1A5CPjXJV8SQpczrxr1R6ldf77IlExoUG6a+RQ6p
IXsgekyMg75DrYffo1M/qQVgvq7JlopvEa3mNJssF89Eqh1s4RwaA6hw5BLXb0zijshXev+wWQ++
8skS0zpVh13pl+egBmxA8JhX1pO9JbuE/CC//NwWiOztCJVfp2SvMhSD14/5Rz7SLcHWvbO1540b
H68rgoOWNOHi3FqxwrrGv0kFjpigwGQSard+qbDhZpCNw7e2liA4miWfNy+0io/YdEkGDNp9yzvY
Nt2a6izaDBYyH1utitWUkwXYowWtrAetac+oUe/jtkiWkdp8yILwNjRDUIpqt9ECW9kxKzUWfVjf
jo5/D3HgOlWk05EZWHrAhAK0cBFjidq/6fyJ/Ddf2RmD8lpXSuipJhrN0WI2PGkCMl0HtCmwmo3r
qGTQmeO0L0rnEo8FqW8MWJZllxvLrMeUXJnyiGTmE+CjfdS5KfVFdLJjYkMj1TmACtI2qkip8yBb
azwAnqnFzzhu5XoU7QVn7cdeAWDJo94v4jGD/d4Zn7OxI2y1LG67qVy2ZFtPc93qOMO0MPOChXvS
v9fllG8Vk0+nP29SmjR6w9A6MZN2PlrSutOxo+z6gnFYWus7trOkubouuaWU57aJ30fNTHMtq/gS
BbZnK8ltlvZnVJUK/h2ckhIsaZQJtJU5UYopazxZSkxGNfOPKrfvcXD3aFjUz75uPqlG+ooTfFdJ
g/F60LLGU/Q3s1E+NLEjllmWfchkq690AaNqbLVNZGePxWgeLKXADD0Tj4FUOeZgX43YLR2uEJUA
3rB6MSA9FrpFAKviELpoVSd7xkFOcCGtfnqpDf2xcoWxFTM6shTOzTTDJF2UoZ5ZMxFCRAc/EOak
P8MnVae9C3OCRN1STbejWoyLboZVwpJ5Km3zrs1asFKhi5Sn86kVO7TJcVnmyzxSSSYqWfVYxls/
jUxuLBY6MySzn3GZyQzO7GeEJjkKcKtVFqWARV5xSZHz0YDcVH1pnaMZw9k3FamY+FY9Q69u5Qzr
HF1EXBr8zmQGeYLDoz0B7RmhZEUqGpYnFLK7Ef4n+X3kVcxIUH2Ggw4Gn9ayjl/tGRxa+vG0smCJ
BqYxQ0XBixZwRhMUX0Q92unadenaOA+nTQ6XtHatdV4rQCH8TcGm7BrOCFOriMRibCgjcYOJNUJr
oqCs0b/auV6unZmDCg81diJkajMilfV04MGAUZeQTMd92HWfkkqN12HZGnu9NFCUIdCB0hzk2zDP
p/eTzHhv5AhNcEa0KuzUFoGOFsWC32pkPkYqzSXh2OoPAYxXH9arEk2IaDXWin4yXWt4sFCI7lzF
sY94w9G6zNBY1m43JI3f5zoesjkif10arD86cJbEOLavBKbCrSEcZTO4eBFHjchKV58G0jPDmxZu
be5PqpfMKNsSpi2w+6MP4xZg900/Q2+NuFLhvtNPRhBxBWRcF8Vi2vjoABwowPaMz01x1ReGO678
Ga3L+A2rILRdrUuei0S5SaHwJtjGlyqGmVVca2ArzfIthSUeYO4mnACMbz0DfTuQNp5MiaefYb89
1F9fdKjpNLX3ZFX7ywI2cE7u5DYe4uBDFaYeApxHMsjZGPLoOpCF66x9tAxlYYXtufxibGuzV9/S
xUqbscQCPnE3g4qLGVmswy6e1FL1lDQ6aaXlQ3lKDmlNJWJyp1oz+pio5rfBbUB++Ed3hiOr0bgH
ryPm1IZFbOUP2Vifh1yfFfRZtiBPfMkbuq+gJlpp9kmBoigHtrY2HXBeKVtIwG/4ONdNB3ixccpV
U/K3slA+qLF6nIJDRvJoDa6xbJJn0cUvYcPh2ysqsBRnB8Vp/tTAe2zseo9Xm4VpwtszMyGZ4B6G
mRJJKCTbaMCRACZp7y3nLooD/s8c4D2gyahOtYU5syeRzUYbKrcnKrBdNADhmzmVBsDKaSZXdiAs
GdAvfCEfNINvPjMupR8fkpl6aWTtq4kMNXDgYZYIvVQnQ+yWf9AMLjyRB4xkYWiOrnHGJPi+lpIt
8MzZVJCvl5E4wuLDEIsIs1NqiSjG0jB4ZhtQMKyD9Xk3IzNSdMm/b2aqJ/wqJBcTXk00snfZzP7U
ZwpoSN25cAGDKjMhNMeb7oAMlaBDibuP1oF0L6MWbwqAxOBsdXdTj7mnDUcX/Gg4c0iJZsiWOJo3
cdyXIHIpZIzpxQBeasvghZnO0ZyppoqvhrxZ1TPGfBA9uowtLuK+PvD43Aez84O16QetdNAGFgu3
oe3fGkG61YFm9W0Cadcor/kXLwn9n406j3mP8hD2RaEirs+beo8hQ2bITSQhwOsi7ZXxOvLu5KoV
KZ7pYwQMJkdGniuSfSFZvg+JwtOm1JtJkChWF5CfHaYreaLIdWQWnkmEtef3xUdiYadV7vYVa/dA
W6V6/N6o8ztp2sO6McAWxfUDEfWkLlN4KX5EzqAldqFjPgNQvBkiYS1Ch31NGBGTQN3VgAQ2K3bL
vbZQ0CNwneC+QNRPsD9XGu/f/N5Rm3diJE0jPFY16dlpaXpD65z7NmLS5xxBxQlCk+Nnje1JI8yj
No1UN0X5wt0CKi1Nl0nuvm+iyNy3nfo2+STETzHLjLF3iYHvbhBEs8MIp81AK7GgrpGMH/JPtcy2
BvP9paVimKka+2hW6a1OgGneol22skJuOXePApKJA7aYAJOm2XY9T3Ss8wOtGoeCmTaLBkBD3cBH
A1i2KXWqXaElT0nFxi28JBAfYrKR5WDsrJpJmnCJ+G5Y7uVle8ks2KkjcdyBhgJ8jM5FoJ4tMa7T
vD+b+sVGIaNMlVfXCildavGQyGDXhtFj67TvS1GwiSC11a03g+3MkazYFLLzWOlPUQnZsVE4GbNg
N43OtIu7lFiL+H04b9QdasFVCH72wKnwZJKa95BNPQ6aKj4MYYLYvI+L5ZhNJ9mPKHBt7WPZq1hQ
k6uU+XNSuqjKG7gOo3hMreIYGeFDJpEe/V/p6Ddvxfk5e2t+7uD/n27o6W//vKHfpG95/gdTAL7o
Wz+va++Y95ozqpGsoy+d+fd+Xn9HMKrJf8k+YJvO4Oq3NToFLZlG36SN/NW3fp41ujvnJvE/mEVn
j8S3qcbN14EeA5E/3UKwq/61n2eFjkSS7+m6RPDPlosfB4z52Dj60LniomesCjm2p3JTG0WQXw0l
D3UygjG5PSEVqq8GN6W9z/ooX07kB9mxONY5np8yS14S9D0jxUKvkzQ8miaCjtJIh2xZG9MuH4Bt
dL240qZ+BhcWLZ3a5TrUNwosr6CJ6FWqjQrjy4X1NZTKVonSF6sGLseS9hjE8prMeDC7rT36va2j
6luVdhcKnlyCmFOQoRB/qomzTgUU6YSpgKxJ1wAdtqPWA/RStJcYQhmBLdaudp2PJeyyqZavnIcn
lyk8BAD+bY8CEXk7I8/Q2jFUcr1khqHFAixaMgPSJjRJuLvzpd5r2wqGWj/D1GQLVi0xlHpVzqg1
5pD8a3PC8JtiemBicHJnOBvTR50JOsA2nZFAaIJDJD1pXc9QN60OHHax2rML7w1paO9VJoQWWLaP
GUy4Lo6p+ovLMMPilMy31tkMkAOYuZMzUk5E8Mk0jPKeKk2g3zN6DkCNQdZ4li1xZOKEH6+Zlewa
3BmLUI8/jRm7f3WG2dWFj6YRc7kRjM9sciQETe1zqxMRBAkPetUxntF4/gzJ69F1M2UBnFfMCD22
skwHoOrBJHrLlFx+5P1EIvE0ZfbJjJolKnOobPFetf07OWP6apnEjYefvAoRlucd1xhAj2BRprgr
0YK3iUBjHsAaSBvX5MTvw03kuqQLZEElTvgLw72TFP1G5+zb8bqU6spEcrEJfVfc+QDqiPMdNXhM
VcE4oLdGc4Nqzky9tCPdRhuLELlsXutHh8k6llAibpQpUT/+cxzSYFvEtPzVcXjXPrPvT5+75vdn
4vyV389ElTPMZvVp6bbBhpfj8vuZCC2bv8JIjMP4VwcYaTMU96jE8f1+Oam+nYnOOzy46MfJr2E0
pNt/a/drfJlh/rYMmdXebGb5FVyXeSkrO371H89ExVWMpMbve+kId5pOsV5a8RnjWayv2jZLb5yo
6gnGSq2zRfXbzSbO2c1ZY+vsNfTNmZYdKwyf6Vjs0ya/JVrGa2dHqBH7JxeLKKU3MWuYRgOD5pPm
7Biq8mGK87cvj3LR67QJIOoZQ01rLTPxTrFq62BPeLoJzSlt41OLZXWwXYg/Rp9rL+z9sEVI5NkQ
z1yNSQHN415P7JZQJ01hJAVU04Y1T0dLMrKiGmgvAO04kZNtKkfs7RTv5r3ht5wxfibJbRBfbBD1
7IiIZ29E98Um0X+1TGCecL7YKEhEx1LhAKHwROPW8TbJnX5aVXWgViscRshoUYu8dHZGalaaPzhE
HSzbUG7cXhCPGdkkOBS+58gK/KibyrXRFSeUjdVSb4jeI5hsVU0MtkLBhtBnbqT6H5R62iGvv+2d
bJkj14YI5vVKexykxX7EHhduac+GrFvCXp5L1CJs0RQ4rN2JPJscKXO5damAyfXTbvtO2dmavsr9
6uwG5WcduWmmyK0WtXtpZ9vAr46BAK2jD+euqF/UsbkVIZ1AbL9PRM8g0Nn6WnCxQ0AWVVrepSXy
nTzy0lLdSKu5rVvXMwY0Q7b5kDk2sWXcfW4Dcom8GTczdPZen3NUuGaKUU52K1m4G7Oc0LU3Jz9q
bkTSPlK2ek7neqWireDPnKciu6ChZg86nfPG3DaD/jDJ4kSrtQBAfOa9XJaxXIswPMd+cWaaepjg
jXZtu48tql9bfdKteI1E7FQa7UtQgPOa3/rAEfdmjf410zauPRwxPbSzvO3cMe8Zq/hc2/q1GuWy
nZT3VmjsUsQ/sMQKr0yyXUNeHXHVC+FXb8LkAsjTBycO3+M2uG1DZe2X1hELyJr58FmN+5Q2G3+h
Obz0/BK0mZoH4RdH17SnD1zWCL8DR1sr0XCQQ7gDLY/hbqzfake/RWB7W48JOtWgt66OVTOTk+HZ
9s3TaOkYBlOwI6A5GTxGemFgb2C8s7CG6kL6z1FqfKQ6Ye7SvlEom2XplY34NAaEeQ8MOTPjyITo
OlSt7Q2IqrjJHM+oqicU5Xz8DNsrS39DPTGuFcN/woVxkmTQrd2su0+kvzIUw8GU2aLCRhi80JKc
aiUzZ3cDSEUmAEzMQ+3km+atWRPwxkQMM/PAO97H4iYulU3DrLWkuN+WYaIslcaJ19Wgndq42yQ+
iiowhaokQJBPB++WjgJXdM1N5UMLyM3mgDmejOCxOaRZdIE2czQqZaMZcwBCdS51BOGyyl5LM+PN
mBSPADjpxf7Ii9XaVyt1dwVico9oGWORz95/fxqIU0RYWKi6WOqhBXM7Ko+g3XC1tMqsf/vYOsQN
EkqILi+bzp1mnJgVfLINAgEVV9/6JaSvgYUJgoT+lnHch1bYe8UCm6J06Tod8xKTnjyR8opozeQE
yBTAMKLMO0+vfIq6qKzWcTcei0qTC9uILklSve/tjqlzONwHNsGSRDdR7rXL3k0uhG5q2AoJNzHq
mFDOLF+KKBRQGBV5nED6HEJCwL7ut/+7l5v//7VCGov6P2+Fdln5VkfP6e9v/vnrvt38mjnTVXFy
/6vjoRv5dvNrNqovlGA0Il9s3HzVt24IJCs0VpVEU74QWRj1wrebX39Hnh3LSFBrNEt/c7vJtvSX
bmhWE1u6TqlDZYJcYO6WftAyOWFV54NSjafBYOO21hKVpLXSIcrtswoq1FLZ3KltwbPMdmTags9M
iDb1hxhToW0mt77OzMLFSbCttd4ZAZ3rr4HKgKUQ/jO5cXc8StkNkSEh1hhbX1MDBUgf1eZU2Pbn
sCR4IoH7t9ByYOiMoo2V02DJJYQBaVWmWceJucFOydOWyGVm9uNygF60jOOgPhPOwfqIURx7pOTA
XZ97TSnHNUl1s8SKPIuUTLYlEXBsxtjins1+3CdWdHSL1j/wICfrRBFMOGj2OMV1xJQEjo3rQTih
Z7SYgitjSJZa4pReNaTRunJBMqmm8pja2qW0h3zvhN09waKq52fMq5iLlctAjMq5ju1XmQMOqwpH
2xRW/HmK4yeGXzhDzF7LdtJ3/GNpxuN7Zr4+S5qQ1HGDCj+M39pg0h/1OmQfxoZ23dtp5TlNyglG
NV/x6+bigEVGW9lSVfbEm6hHC4zpJiIebhHUnX2sHefqYg6+y7R0J8PxXilxoRcmOmjVLa6OzfCe
SDuc8Sr6o7AYit2UMIc0VUnPOCbKUQs7HFBjHVrgnQIWj6qBFtwftXYDan2kqZhqFFaXkPeu19lF
n0ZQX6w5A81ncRbznQiqFUp7KV2B1Eqnk7F2SK71ewUaY7TT+2Ta130uLhFWmoqUWpcBoeBF8C+C
WSGzukR87jWRHHXWpsCppjvEq9rg/dO5fOlcZjHgX5xe+fgHuoz5a76fXNY7e24xkIWSNK3OyILv
J5f7jlxNlXBqFY7hHGH0/eRyOO4Y+zg2XglDMGD57eSy3sGGdMgrAg/9tdP5ZW7z13Ocn9O9COgk
HcOYfwfyAzBeGL/ogwygToBYnRZGhE12cpFG3lBkpjtdidSbGIVHIvQne2WGvRrirOkJk7G0Vtdw
2uhjDvZpjLgQKzeqxgsORziKC7eTVo3Hb4AER7huGhob4itRgCxMM40a9m1+3Oue4osipwSyO/PG
6TpR556jlr15GCxLNpDtIJ41zw5a9GnCQUXqAiPyoe5JTdZYd2/iphSnsFJDGMK1jUZQmu+rgnBr
yHuLqisS4JNJnHlaJftDNLLDRkwBeipNulvNTuSLiiy8xEgaBi+9WQ/rtFGzY2QnxYrESf8cK5a5
xncQsvTXKAZcaYxXzdH9HWsbeaJfkWcND5VXIxwoJJIQFgJ6/QxbHil5y75gGbJ12lHztPc6ZdOS
V9B6dadUbPowlccAcYRPmbdJiWO6dSc1XQ2zsiLt1MFk78d0xmpb1vW2Sl4+ftt1Qtzp2iw1xtwk
KVPMGIhBeJtQGPoqLietJO1TiFB/MqaSbN+J3nCR6J3+kpiNdeiqJtiNjFI+GlZjYFXQ2f4BOPIm
6s9L1yWvvKT5rhK2dqc1Ed6UGDHyyUTeuAAaHJ6hYQZeMFrR2YqaZiNEWq/iSbjnCRQgJOo8RqtB
AnDIUOiVtUJ6xHjWfOgyAsgbEedYmiMduLeWInUImwQxgI9fcKjsq5awuODsa26MyCg9Jv3FgWVh
f2iaZM/ObSL9UXHXlTUOn6VJI+WWWbAfioiMHyt2FHo/WyWOtcGAUowoD2D0gTIeXQKzAtQIJERP
i8GqYc5NuvD3aa3YH7DMPdBj6EddccsLv76/VhIyO5tCZylZ1+plnEISLF0Z74KIPVOBT/YE6ny8
DWtXkkghq9UYdcMq6Cd/3WC7Dv45Wb9m+2toUv/8ZD281X8wIZ+/5vvJinIfDhlRkmhvvx6f305W
PGhkAsMKQLo2T4o4j7/VhByfgvEMM/AvOXQ/RsqZnKwI5VTCtmyNhMi/p3jjN/tBGTsL3mzSvVGO
6jY5kJbzi2bb0cqA3PUJVmiD9SvBpYsvGLa551Sm2Di9+0wAmlxXpUWu6jjFprLPGrdDYeFEevwY
6SgxLqFfdNWOkWhJLnkXk4qFa7hzbkqzruUNKI9zaSTRPatTjJehMTlYP6eGoiWMn4zU4hDPx2BT
gt7UVoGQBZjvfD7idXMK1+2XT2s1A2R3pq9kmIC11kmbxyzEX1sSyDbpbGGNzm6iZq3nQ6Tts0xO
xV0wUdxsosqfJ1ukwW6EETBAd1j3Dj2db13IeKMkY7WSla9t+sTWVnKopo2a2PWHqQ87DaT1aE8r
o+lAko66mIZV2rEHpmr2Fca7ZqkgWykn+9SNTciUQC/su8i253wup2QvzAZio9HjtncAdLC647ZL
L4NuhzpjKf48Bk3xcZKmIDQfG3Bcg5ctnB0aNUNd/VP8fC1+qDv+4hGN8qD5g76NL/r+jIp3JmZL
nkXNRng1lzg/PKOA/dggUR0xlKWj+vaI2oxy+Y9DnQNj8MfscGMufqh+HJ0+cLb//K0l1hd880/z
WqymfD9cQSZZ5GR0/Ny1ab4xcyQc60x0jlG/R5uZ0urnY6Z5Yah0pHCwe4lOjZsYH8vCHtg1yfSq
KsZSIPzKEKwMbbRsHdVnF+3aDUE5RU22oNOTcNBZDQ9U0/h7acC2WBRpMSXXAvVpiQoVN/zTIPV2
SQF4Hu288sxZsgrDglFaFb4AZrUX+ixspbsNSWOCQIDmVeRxwsgkGT2JHjbU/I/c1yhkCzVG/JN+
Uc4mZNoss1lO2xMfibQ25Lvay6Ijpe9kKqO9HclciMzIJ6wglSQqkSzu5335Ao36KegJCmztzF9q
Zb4ma1EuiyzeVrGyjSIUj0Odv6iMRahZfANsc/Y+CpRX/VTm46kwSWwwHF6eFPyIn/r3WuVeM5DA
Yuw38XTVWvu97JsHPLQrE5mW+Op6+GeGYv5lF3IHPeX5fyzrbvr90zh/5benkZ0ygTSaxRKFBTF3
3Q9Po/6OhBpS9H/LZ/32ODoY7tgHkGhHtu7MuP2tF7HZUauWzvWLHpSt8t/an+AG+PXK/LJQxq/K
NIXl8q8EHeErZMK7FGJcNcUaQgbRwXqqe+mQP0S14SIWrlEyg8JcpolD72y1u8rSCDlV0ZlwNe1l
ihQ2C1Evtmq3DYiwsng90AohgSpywM1dkK5iJ36RPrtBra9QJeYMh9O2z1cOmQ4EWI3ihtnfe6t2
yY+g5F9gQj0CBXwfBC0CtujBj437DL3/xdF8hbQWyvAucoKVOmjRPkvDB98EXpMIcXUTqk0i/940
pe7Wga7I+7wSW9t2DnE5jGt1yFdKM9wylgT1Uaa7VKnOPXSUwKw2ltqQOm6BP3HquxA1yqIei1Nj
oZwOWmOTqCJc+kHzOkYEkhRB0K+caayXRkQIRlTdmYhMwsEkBdOsF01dR7s+dZ40jWA0OUjgfBUy
qAnC1YAmthuybVhEmjdArPbSGlyoNd36iFa25Bfx0nRRf0ijKaGdC86ijPbCTSovTtPV1Cqf4jgV
i6iqnAXy542cZETgGItopYcJTrQYasTJWHepe0OWHtR2xqspEiVKdOM2xjZfNJ90t/jMbnXFKTXw
rWaVkdY8hx1x/Y3PfsF0Wi+m5VwYJbEOzMc4UOE545yOlvbYbEk8vMUdV9xUmXaqhnhYqcDpV5FF
rAwpUfpm0vV7E+o9mYXIxxXrPSeW2Fc9iycH5L1d+We1wesI12btR+mhKdob6Rdem6qbVObrYiCT
CC3ZA/sJc5MPTLP9Br+hSKv1FDmnsRo/6kW2NvP+CZVnucuM/pYlARb+Sb7xkweau/StR0l6yQsE
XpU23sSDS1xqEp5Ep/jH3qhf0GkDeK01fRcFJMSFSuasKqcTAJpyUj3UaW0laBRrVGrnoFecfRkU
zXWgYZkHTUEreIEYFFm2+8ktXbnvLWPh+s66LodtS6T/aBnSM/z6URDoT/Oeb02uwBWcpAVW8G0t
gTd2Fi+xS4ClkoXTe6MsaNx1Vjdk4dy5lX1otfEtDavE0xLrNvXD4GAj4Z2y/jyPMTX6vFVisznM
m/BTPJVi1xbOJ8xUhMW5E+ZuOnj8Gs21rQpe4vrkMy71CGEq94VTc3Wxc6sSc0XYqskn3O1oEMlS
LAbCD+ECj2DO/c9pieC+HjtWLq16oaIEYtPhO/MnhhF6rq4m1a62QUdUJuot1Il7GeuNhyryMUaX
i2q1bY+hqagnA2vnm6r6yX2BHH5LhCdRdWhjIeD8UyZ+LRM5yP+8TDw+J2+/v5dmZuX3e4nLB4Mr
UxQXVZFq/HgvGe+oGin3wK7MgWw/TPfFfJnpLPUd/lL9UkF+m+677zhCLdouAsUNRJt/KzLkD5Jd
5wqVWhGPOAZc8WvMPnNteoYqty5JnwYH8owr/24YkhwysB4lGznTssaZm1UB0CIjJ92ZNWYJa6Zr
JX5W7DKWWycpZ/hWnJLjOXSkMZoOuzADKa5rEXooYyKWkyDfKyK2Ts6cVDGk6trOCLYKsJyIyX2z
YlbF/YjviYTlCYUOT14+yEOcp2vF7eeFZdzdtn3DWHiwn9JBgL+KQ7GSSF9TtdhORrmResB9w2pM
tcfJa3SAD3lWb9tJO4tGvGGDukaGeyEvdsfFf4eTZqMUzUclcMtD7heHKoQLE5rRThPyY9oGS1cJ
7zLdeh9ELlmXLtWqmRgl86PgkfnNznDLVaz6jyj2n2e7N6pNAhqTtpegYODIRKYzB0z0y7pGNesU
4lAZYb9Iah1FU3quUKkiCw5OVWY+s9i9tKR/gW3hXuM2ngpJ6odf7jMncZZZ0W4tge0XtiaRMgic
JnIpE2SuYOw0z3DG/eQrH906vI7ShLLTxrsuYMNaQRqjRqVId2c3heZjS5PFlpndY0L/zGSqWFpG
Pa2DMQXPUoavBE/CiC6pLXJt3JCUtwcca2wyVz/nJceQbFPo1nX9ofRDc2XUnzt7VLd2YosVg32W
JZbtUVZ9VoYGFakQlyrtqsUUoZHjhrh3axcrl0i3pNtd06DZir7uWXmQrdKWztIKSJIf1GB8GnNW
3oH5yWGet4rZAbP9nx5Nwiqwkz0N6nStXOWegf+jLHEY1G34GXIQbh6ZkDrVkBPujNukGci4MTWw
vZ18G1xWxIpmsTsog3Wsd6+EpTNptIy10yevI0OPAhn6nHUW2c1LD/7pyMSWXUY2a6VaaBWpJ2cF
Ff9+rFXjLKsiXxOJVY9WkNvNdTBZZZwGnqo7uSCxkC9O5ld8Qta1iHxwEVg010JBZ8/1qJA2XIbh
duzVy8TDcB3d2NkkiktQFWNNUn31vWHExhIl+sKo+JopKpVLHAQGfD21WBGUizzNqoxkkWgj0i8j
GnYZq5SFVRXR3nWHiYmMJVc4AtrFGGKaUvt+LbENuGpwwelB7K6unQxCdhdA0K6oHwOvSeNzZZfR
QtceGHyPd7WmJI9kv6NJrwixMtiyaH4NKq/lA1nbRoL4Giq7SbYeUSIk0TLGXqAp4nOjC8VzcuA3
muz6Mw4lyDSg28nFPyU69hhBHCqsQ9weKfmJetS81N28lyelnKphl9udwXra3SskLO21IHW9Yq6T
0MbXwOEqKIEYGldd0NsLnPFY+0MH4wQh72ulTPHctZP6Wmn6xzjL/DV6HLmStXQ3+QTfJ0lSa1Nk
ZIU1SqwyzamKhabP769vZ+Tf+IdKhNRI8hzxRC0lVCwy76+h5F+tKvBlg+KgjcYmyvwWsz6C6niq
GQILdznMahrD7XiHYApgdljj9RzXWZ5dQytCoxTjosJ5dnCDDqs3ypjISh7R2286pbmbkr6HrVKT
uA9OJ9eSU9PVyEg78HR4VTZ+WW7trvkcGH7oWVweyGBSHtgEGsDJHbL7rInTowj7m5xXlMUeSWxZ
QaEdEK/I0P6BxnwtzfLwf9g7j+24kazrvsr/AugV8MDwTwDpk95qgkVKJLy3gaf/Nsp0SyrTq+Y9
KSMqLYGIuPeesw9k/4+50lT4ysWxzybaveq8Q6h2/78Twi8nBJN9+69PCA9tUmK4/uMhYX3Yd4cE
yCpCNQwB+sRarcr/biXp/7I01p9fxmGcK36rXNekOYs8EZjb2q9jtP9Uru6/+HNmF3RPUO1Bjfkn
amhb8L5+bPbi0kB1jYSFf/FW6HN9P/9XCGGwGgJgb0q1NhgfaANcEDkkEK02ulybs/M8opzN7fpr
MxZflmqJd1jM7g1l9drY73IkXqseon0Le7GpCXzrHZbRwbCvRK82q4Im31T1bDAwQjxmRjLearU1
QB6MCG4LM28c495DsnXdyf6bska7mu70jTZqFcQ0hAYXzS6mp9MMWXSju+lldeC0ojL9isbxFSFV
Ixpmfsa4+ptScbe3Q/s+YgJZikzuhOa8K7O6jadeZVGN9jYzw3LJ8HtkQJfMZnolHvQx7yVDo0y9
183+JYIQt3OZ2rBQ6dZ1xAwO97KLLszMWpre0RswpmoHFQ0nJCtGAtyhwqOBalG7J/BoNbglt7PG
WEeYH0Zf7BBuv3VGcqIcId8Wh+3sQKRye/62uy9E+zLoyaGaBwv3S/RSddaLiyN8qpAb6F871/3a
at11uyTPZjV/zQyn8OE/LD5K/BvyW9FZm9O+wECxSXuAFgvpc1uZJfcgM6+GWrla9CZkJAa/UGq5
zod2ikOqdlhg1DXbUxg3ijlRf9DZ30AdtSFkq6c0tqJdqgzWtoly5pUDfo5ufrQ65cgBAySJ3R+d
CiC7cIvrWhpQQjIOX21dajvZr3rHtKLVOMSArnOHMLq49VNRjIE1hnNgDhrRsDk/taW2b6PpKXTs
bZ4MN5YYrkXFhFZR3GbXAvBnOgnFLcsOGpmxm7lnm2MqBuhXtCC+TYJFNSXccaOF3lSNJ2GLq5hf
BX+zfU+V9s4azZspEocotWfP0tKdkYJhAa3trlt8tliPPZECooieKJ4/LKEpgOqQr5qDZWxGNomt
MywvWDBreJ31MbTrZ2UYOj/vpkfF7VFxFbRnFpoggT5m91LRJBwgfNqqWn0WnVJ4SVVfDOleZ4Yk
Uw9X+MappvOAgDWYnbm6tqci4l5pHXoFiUa6r7sHFYDSjHiAtz6sU58aP6Qf1GEPz9LnIQNMmTzS
kMi5AhM74F6DPT8isOzJkCHjg8T6qa33swqlX6/ESdbTxSA31S/ShP4n5kG6DjHFeYPQUiuuktUE
CBYQA56ut94cLXRYqrdsXk2Uurg39KMiPzMBu0+J2rvK7gJdzikNZztwgERDrv6kDGFoYRuf7SJe
OZSfaTtf1ZBvV9L1xuyUOLAA3EJSa+7ioXvLKQaA5xycagHJizO2VWeBZx9ar9OtybnyU+vaL5Ey
nKaqv81r5dKPaUaQcO8vUD8hxzJtF7jgSEQhxGjIVo1jzJG87z9rvABgDEmfyGf7LWnaL0gdBHB0
JSPUeKZMmRwLYxYVDehTx8tT44VVlxQeCXJmzK2vPWXfhvlA4rMgnzqlnXdRNwzbeBmPfcjJn+DA
Oyue39LERNJvZIxem46424g+UWdQZRWWj0Me/3c83/dmQ9wiLYZ8ptnQZCTelKXZctNV3BKOdcFr
mgbVHF5VOURfYwjJbVeie0qm66p2793Q2OuzdDyrBLU6yByrPq0UcFTbqHfyl3biRB6SG6hQeuLg
X29sM322ichF+DxlW5ZVw4u0+H0uK2sDqGE7TuWRBf1OGtW4b0QxU1YNHE1HOKdEGY5QO3axSGAx
4bKjNVM9hE55jEPL8LImP3fxeJsQsIF/tdiEiU4yAjaJoIxyHjuO96aVOpyMh/euSgH/1m0InV+L
geA2ClZb5ZPxC/tF3CY7pEK3SFbeLZ17u8nJZEKoqXj5HIFhCJfySjTuat1oXlSiBryeDE0sXjOI
P9hMm5gC2K9Ys826FNuULO4tyqn3wU2eq5oLCTH3VvYRBhN+5Ru2u9abSBslQklEW/K7+E7HhIpP
n/ZuZNCciwnD0EmQ5lsaH2OJt4w9kQAeh6RCxiNoCqgyckVyuTlrqFbKnzk5BMZaWSafGKgL8KeK
gFQYzJGg1FMy69GEQNWW8ptZmTdpVH/MKk/XGekLLR3Uqa3CpTeUZ5VhIkFCy4X9H6QuBhShqgfi
IFq6XhrGbEiTL02e5oduaR4p8Rs/L/VnRRrX0GG+TU2+dcP0kc1enKhzMNMTiNol0TUq/gfiLPa6
0mFYjcd5VTEPG2mQk0WzzWYwualGY+KtkPKp2fZXTLWKX7SosZCnLFtZOXdqWDQBRZOBmZUmcF2T
kTTmQ3gQrXyzFC6GPh61bZY5D0SHoD0JlWMSRW8ciP0oAwY5p/Wuaioeb9c3RLqoG0Jlo4C67Wud
zsZ26JNXHC72Jm2sGzFYT5VhcSDO5/0S6Z+pmGzWWHVAUdbGgTOX8dYiAAOZTZdtwANw+aVqD3RN
gsxe1FerG68I3GRChfQXJgGrdgwFxE9t+oKWkr4xqrpkCS3FHnOy14z1KRlzvuq+3cnFGLxBN1Nv
ENk+jTChJw4kELECIhsN43CVtnlguc43EnPmTeOQLzrScmHyNI5+BRGhAoDPqmo9F6DQQHOGBPk1
ygN16WPrUo6WCWXClEPuhBESDU6PO6yiwW3E971lNwGKXir9gbmYcB+NcriJcoR1eteja8Z5jZCb
+0knvnqOqBC0rDwonJy4IVPhTVr3XhOZNmvs53xbbCHMwyxC0xG9fEy0jJXa+rSE8qDQ3vTtYu0x
u9mnvXaHGV98HWV7ctnJ6RGZX7vR3iGAbMFdquTQ66XvLqOBHDN7joqi82CTa56DMjlVim0UvhOc
deZgYGwcQ6HsGtJjbSKzr/EwXWlJdQiblp852WukmDDOpvRBbZ2SXq5yZxck1mu0nwys2/NKmLLi
haZ7XZVB02MfkyZFVZE1fBxCZdA3tdDSKuPk0Jd1HAn21W7IP5mmT7LgC2Tj9LABzm/FOOAWXRsE
rUp3gmgCroWLbiV9UJoM2oesvrcSfkfEKOscL2fW6ba8zEZbblvLOKpO/zUtaDTjlXhu5l86B+Jx
gSQyy/wB2m3hTx1Lqi3ex5GZgzOV2Gp7m2TXfDjXXbstxYwNTWIxcGvyQ3or/XA5G8cj+QX1XH4s
Bb54hqXoOJeDppUvScpIyE4f65HJQscpz85Y+uKGKzMm6WiHKII3Odg7aC2fKJMa1uD5VS8484GR
9pI8fcECcgjD0I+z8g027nvaD9eGQRpO0qt+VMxbfMnslHoDuM4mvI2QAbNA4NVU93Pn7mvDPbiY
XRqR3vSL7jG2IadGB2ka5kHSjucW+eiQ1AAgxKgduxTDcBPZWnabl4v1IqvEcq4axRz5A7OvRzz1
Fp36Wjn+rwb9tUsNt+yva9DzW9d9/JniiEf9XoKSNkL8GJIF7RcQ9Q8lKLXm+se/00f/oziiCuV8
s7K5GJGa4hcg9u99avdfNiRPnpFmNZoH7R9Vobjcfq5CTTBshmnSFadIxur7YxU6Du6soFOYruWk
d3YQjyEkYhgdEsleEuP3D0/9kkV6INNxzJ7UQcVsilAq6Q/1kqzxONaSnTvpTkuQkvS3EINRlxXM
5FK3zK8zanIucM4fS8ApgDYbusv9bKmR++mKQu3vZddxc/aJbYR+SNKQi5mpWnG6KD4R9TRWpLEA
tdnERHABn8m+PHBMDQqN+zQwbBWv7UpIQP2XqTt2Cw5O7RgZ5mOuEu+xxZt2QBhF06u0DIIzlVHu
Z10O6eekO/M2StFQBlFEqGZAxIrYQwuOjkro5O8JNl3fJV+amKNajoGSoxgdGTXByEFULwpscMgl
zPfRZBK2LIW+66F7x9R4kbEzZfxpTQqJ66XzSbfd2PRFVAR2zc/ITcZcO8LTJF57OsURAA5nbexF
SUEgV49xFqkhogmbbVzDqQoLC9U27FZoHsOq41dlIvbkSdELD/Heq84qjlyq6Fi3Sn5jSLLO8ll1
d05dfmT2Yu70XCebKR6NHXVWEgj8dIwOyFYyzCG/yQT7HMc8nBccQIummQJHIfojcvSPGGLAHlUI
l8VIAQvBE8JZFdkbYSnvNf6gvbXkA4BRrGRx237aUxhCPKBNbxcMH/ypJcwg70k1q6qiOxJ8k/qa
EqcX3jPI7Mqqjtk0goBMqXbIH+eEN8lb1w3N3eRWRdCtSSdQ2KDKtIazmQbw2OXS8jYd/SUvM43W
WxqRhUWFwalvTfzMSU+oR1DplZ7ugLw1txE5M5s5mvpbm3Vzs0i1ARoiJTblSsu3i3DnoCOfaoVQ
1MGs2gPsEGan4VxmezWH6oBw7TdI7P+kJyqK8L9ZNqvu//3/MvrIP/5MCcZD/712otZkuMcoTEMB
9LMO3kUdj+ZDZ2llpvfvDp5u/ItumkazD0EVjfAVXfj72qn9IuRkWcXaa6OE/0faE5qEP/TvoEUL
sY4ebZsyxRbrz7/z76SOTcu7BFo5FMFi2mTi7Izm+bsv5jeGwg/h5w4f5A+vgkOImGpCfmnE/6S1
b5AVoMnEE9xXaZL7lSOA4rrwArxQ17Ig1bsW6bKmnu3IKQHvxKmXL+FpZAR2J+r4Nk/IajHj5DwJ
wfxOVUxPdegL5moiPBHFh4lU4mGML8nIeWNQz2KZbjupXZqlOs2tfo0G9SjSTG6KkYIwpRjc2uvy
Qi66ZHjoflOpqTdWxrEl7TMKm3z4BHSPfqS0oBuQn+7im+Txs03IiQRxaB0nZSl24TTbWJU7SBCu
RnEyLOwaWV/ie9KMp1B37Z2dm/oXrYCwqIBc3SUii60gHpo6DyrZZM9VpcL8ckAB7iMXotdB1cG0
MN1wrtB3SNrtQMlW53Icb3q91p2nRWssP2+0fNcqi2Xu1Goigo5gLDZdUjPNopfhRhDAde00mnLh
+Wu/S9Ywg3k4VQQpO3T8fWtgLoZiHoKd7SR7PTey44Ag3bnh9Tr9iykjG1ukrMaKbVSnY9Oa802s
Il9pIume3NayjyPjiVdcasbzaMfofHOJzaYvB4OeDCM8T9PMacE7PDJZxH3pPlYVwg8LlWsA0dDw
tXqOvXwAddhEkTyMmkm5NQz0o/jOz1Tu3VvHsHeWIFwkPc+N2yQHRSvUAGU0ikGyp+6WkbmLkGQx
V6p7h0hf3TBMgRMkabxVdYF5IjP8sVJRICfPTmHS4kCzgfIlWYK2R2rYIWVm6jwnR4tIqsBmbLXr
+1z1SpomV7QptJGQwG5n6eN+Mkrbj2etu40YNLHDFJekzEnx68ptQWqoUZkHJx5SP7TyfZWQ5RTp
4qZzp/tetcfHaJydz4rCvEsz35pm67NKBt8sgDOHjfogFORSVk8YVJUFLpVQ5jA1Ihhz01n1t67r
P8qk/ZB4ahEm+jjZj+5cbFlAMMUtO2MWF+mMvu72e9XUzgtFW9SO78IcGCMr23xS2X9A6w3yKywJ
9q2voRhUf7JynV2cyJrMHF9NK3nPF8sIKIm7IxPEaKNMy1krtIMeaRerHvxpyF5rfn1drzNXcuwg
HC1kXs5+EMvrHHZBVJAV1oiGNI2INmZXigOolNRXJQMp277hM96ZBPr4c7JEzItDoGOjSC6xgb80
DrXbPi+7y9T0p0ibuZghCOYNvb0sZG90CnlyuYkEYZua2/ozmEOn1s/GXD0rC8nepn0/aNFt2dRn
XDTeqLnnYhhvY5dptVYHhG0mnJZm4iBJ70hjUlqHtvolkvEqU7IvVaZ+wZx9TLrsVOXOMR3U22VS
/RxCW5XnF8K/vSZv5Gmxbc5iHBIceINNZu+RK/luy2Q0nulSLhP97UUemqUsjxAzvxUSjZNCHrgv
I7KbzFnPdo1b78JOVe4WqTTbv195/8SfqTpYAZAvAmjgp85P63ssVRLIrBz8UpNpwZi7MrBHmfkF
LMtzXyCJskfwgRUJr0W9fKh10902TSYenMVh7jLPd0ObnsUc+plrP4u53zWx9VlmaYSfu20DYtJI
tZNiWy1c0/makxqanTdxIN0YDV4n2+n3ML7e4Z4OHsnkTxqe0WBUe1KtRFZt8tKbGq+bD2pNGksf
ljs1bXca+Vo5gcFdYX+TeXE/2OlxgH+3dPmxGYCR1NXZ6TR3108SpJNM9tocm14HnN5CTLmNjXQX
oZPxO9HdGXKgbxBbRxG73Nco9s9hT48nbefHNBmNjWshQdCkdm0kS0lLxMIlmmSXsWY61KWHbDJ3
5oRULsmbQ1hmLk07OIN0ZLaYYgIzqs95BGrQLrXrJJ9gJxR79jUi0mrQnZXstrR5rrM0v4N5xBi8
HHPfKpUEWRmHvba9ofM5+gVlO+e/9NGQBibNOXlz4YkmIxfTzAXqIMLAvL2iFndqzXTNUIm7kX6h
EwrmGvuJdUjvqm+Va59FAxwtcpVvoWotm1pb+4JYqrK8UA9Kva5l/TmxrRdN5FshyE0BBvcqC031
0k5mON6ia30xVR+c0UrSpQkLrXF4quhvntBCt5eck+zh7y/VdVD4vSSdg4iF9hVaM/BORLc/HRFS
4EI43Aqoh8OaUnJsteFXFdpfops4Mn33CjylblMmosMxsT0z//xJ9K5b2JEdN4qucpJZFOs6GZJ9
Ut+1E8b8NvcSq9m6afD3n+rXhIL/fK4/vupPA9Khzvra0BXlImR5j5MawRT/wa74QnUngXTgHGPi
+WyF+mEcIDyPM9ygvJxWZGRSeWW7vFSKfU56g1yIIt7m7qS+O7Fh+4VIHy2nmOiLkniTG69WmM1H
NdetgauprIJhscvAqZXGV+vR8WjQysMw2/p7Vab9ltmJHiRJ8hXUexs0glwxVmDp944lPErq+8HI
F8Qm2SPqCe1QRPpNzIQVYcKeTekBZe3W6qZuAxVjr4tYQezECQXFaEnjcxBeA3rTbyeTEiqZ77S4
xN+cENCpRxYTWnniov9sOsYuXZ0cWkPZI016mJf02RDZ0ewhwLUr6SgJiSJOewbD1mAesiU9MTz0
SxkSCUTqCBtMxiornkfBZCxJi4sTz7uynYIxXLiCRZD1UYEvr/artHA29ZI6fpuHlxr1L9ykvVpZ
i+dE8z3eHw5wtfIw9MyQdZ285cXudyQEYS8fqjcrai6tKG4bLEmY6Yi6UhGZAs1Dabq3Ebj4tao+
ljLezyHM1rEdrmqLPRLK9IG67sNpxOCFsD4a09hFtXG2p9z7L5fbf7vG14P4d8f5yeCIAZ1CuaTn
8ob5+LY5NU/TbjmYe+uMxjv2vmrTBqHMpfwynf7+xWna/NkNhm+DkZYGpGh9c9+9OJ4kp8zo1l5q
39yUZ82rtwNa85PybG9FIB6vFe/8PAaECoxv/CO/kmexOSbb8Aq0TvFf3s2Phc2v950uOF4CR6CM
Mn9yoUkxobNS0/gqFjeA1TaJeG7H/d9/4h/XrD++xiqO+O4DL20xKHGcx2yuH1G7d+Xt3z//n34G
G90lqT+6RYvrx+dHWrEgBGvYvJWbhrSn1uTM+esK9b/yfTU4/nX5fnlDevNH3c36oN8Ld20V566B
eVw9a0YAP/pOd/OLc9wyXeSU2Lv+U7iTRqCJNQIJd9Vvkt7fC3f7X6v/0qCiZwcyKIb/ifQGpe0P
txv2E2xidGUNGp+8C57wx6uDTEEMJQqB63oRPzUgrgC5SQj0NcEy6lJsEazvVLC7plTYVNynomKB
FMNc+YxHHlKHNNKqPxRE3TSjQziMbUOTDxJOw4955WJz18RtpJTtoZ+SCPx1nirvGjowepCqPsYn
OxyL2TNLAQkZU8O+6zlVF0M63Ao0frBPrfspW9dWgO7kO9O5KnW/jhlrNHP1IKXyVJnlI1PSYSM0
RHCinQ6WIomCdY6qrfsQwr+25AyYWTltolTc1al2g6jmSRu70o97FLVhv57ScMUMYfkpW3zgMdnQ
oYFGUWvZ3UxtvsZS8Ma0k2jfUR98CBjfmqlYsMlQcrizE0SihzBcxeo2g0qAKVsx5GFicOmhhjyp
g32tE5k8qKShDbaHs9VGzRlT02jjqR3r51i4r4phw7zN9dus6oLeLJ6yBM91my6PfTttx0Gtr9Rw
nbhVnxqT5rFN7tyhHqnxizMTtoNayKesG05KNX6K1pS+UKTtabo+IOhEI6QoWQ/ELNs3nVJ7emx5
UGeR/GvsKCbL7rVGb5dOYMPxoSeEmZxor1/ZjBWaHdjkUgmcLFu8ciaoFdfu11gSOacj4O1DeI1E
Nnilox3IF9sPQwsGCLSHzlkA0U7b1PScraHY9SRuIZTIi4Pet17XmZd+hpGiV5rmxeW4NUT4njHd
zPKZWIBh9tNyfossQnh4Tq/KXYonQnQnZlU4dpU30Uap1474ltSMYgAJNpgX50KbbAwcQTgAIVkW
8dr6vk7L1QhEKa71BZJKLaIbYBOXvbTDnjn0Ag46N4J8tH2nAMPF2ZoBPtf/1UDjyFaMg9J0TzTU
9mLQnqYRdUUUd8LvO01l79HSM81+mOS4/4PYJEwwHEk2IJLP8MgfDHdSVcVVPevaLWAse59k487F
MIEe/VhkXQglU3tjGzIR78rkmjBPghsgKEinYBoNJoo+d+6ZU/kuu2qrjclLFUHgdPssiEjB9tJc
5gzU4FiT8PTdovYnrbefdhBTMA8hWIq9A+8o9u91cPLdDlXrM8BNxVWv8+IxM76hyfivB/c/eQkc
crhZUSeqUMx/2qRkHc1dmljGdda9D9mNrB9K99eQqf/tUav592/2qKrsP2jm/HGbWh/3721K/Iu9
wSXLhsEOnmEOKf/eplTEng4gKMuyfhvA/e5ttEjGcbkmgOhSFv2nufyLz9jlzGFAhfzFnfwPICv4
UX7eo1ydSw+2gL76XNhOf7z+ihqeiKTyuyr0ZdxixzdQNdivNjbYyh6eNWyx8P1JgN9pjRpomGaH
PnoMVxetXP20aKL8BoOtdSYK/Ks+ZY/F6r5VVx+uxJCLlwnZOuRosrr3IkLzV8PMN/GSefHq52W1
/aKsDl919frqq+s3Xf2/C0bgKUGkH0btsVzxzunKeYb3jDfudVF6pn2AoKekeZOQocmueWst9WVe
kdFWP68qMiDSK066his9DOysULXHZymcL8kKny7xUgTqhNlBQKbOIFSLFVVtwKwOV3i15ZAyDs16
hGrtoiOQln0P3TFjjNes8GsznR6Jtnl1EmU/QcfuWjDZNmGmLnKkAoS2mtJzyeXVDFrbGBavWVnb
YRJ/q4BvRz0Ubhh9V25CLAWCwINBNjbq91hWtGTv10rG3tZ99tqsUG/e4o5UX7LNcYzlK/i7/wUB
vsLAQ4NcABM8+Gi5JfIwfZeGytlaEeJVj+AjTFb+YnpXQxm3Vty4sYLHof/tmyr/1q5I8l7r6k3c
il274spNuOXSceERC9COK9I8LvWPfoWc59DOQ6jnHRRP1KGgI1cgeiesc4y+pIKUPluhC2XHPtOO
uc5r96qAqW6lzNsqmZ6niNxgCmPET8WmX0Hs+YpkL1c4e7SAabdWYHu+ottzG8YYngeUlSvYXa6I
975YbhBbvCEtOETrFkIcrheyFaMVkreTbRFko9JganS8IGnjkeV+V6oFEkZ+c0qtP5qM3poCMgyz
b+fcKOohd6oLqqQvnJSe4g45TeOwHUwy9BcLTD6yttSTLTkBBO0eRkme0shEYEjamjRfHABJXNyG
naHj3Zz3DJqrbRsRb7JIa9rA89WBPHup7Xzy+zhVdX1ttPE2s8TOVHMiZuJiQ92PZjfX79Ol/MK4
BAvjdKkWekBLXx7Drj8LdDJaQTM4F/XBGZ33FFSOG0c7Tp7gJqn00QXe14PymFTWQZTVcaCYhb52
yHCIKKL8Unb5o5WRypEv09nQ29MKJB1Gjix1Nt/mxbibQ1IEVm3yMu1rtzqorbHFJ7NvovgYGYLJ
uNRPNa2zqRM3IjYgUS+tH0b9y4TOjHHmsk1aUGADRDS52MfW1e7MpD5lybg3MokGLS+IgRzp4In2
EpHcU9bj1y7Bc+NE2n1Xdc+E2pzAzl2G2PDjSN6VIqebzE2f5SjApuQ5yuwdIUb7wkqcA1D8HZrH
1U3RX/TSTTwYV7dGGh2g9d0WyhgSl9UQ3dMesAG9iJlS3hF57rvacAdK+zwwvd/QHiamfSlehp4O
wTCiY+59yCLkIznlRc+tL4vj7iZlCnqXKItkfC050HSm+Fw6Ag1QhQdLF74kUM21jb0gtr/TsBN4
UHlybetURDPJWUdXawAJaq38RAzC2XCzA8SEHieTe4rj+NoY81MYyWmTVtGFqOoiSNxy1bfTD2jz
K0W4u6Zyr1qaup4zzduiESr2YfUpIZFyZrKjZwrH1/QeNZvl6475XuPvqboIifJ0UiPleRbjta6q
V4Jswtiyq6CV05umcPZP6giXF7Lnpud30arkzwxRgg6s+FKTrSxdIJ590u6zKt1B/Jz8zlKfbHBG
TTdu4jj10fzeIq0kDst4sKOBftXynub2/WL20bk0m/ogovCuLsqLshYiIZlaxmJ+UWtrB69qY+iT
uU97ZhlTO2v7DKmUpkUfmaTHZperqtmWZ1Ul9EIlAWUrEgIRGnwwXBS1p80O4L9I7LuCZM8puW9K
/PBD9BC23R4lNGk8k/NUTsmOz/yAQ+65b+LxMBs3WZahVEffm4LW7Yt5ZxrV9dRHD4nABuxY416h
tdYviN07C0qfin7d5ashTRK9GGoueTsO2j1ACycQKowMBw74ZlSxfenWpcvZ74O8UzRc41OTPJko
sVj8MddrJfaLAiXpNm4sJBCLvUmckbtzOTcJeEVr9fZLWe8JddrZUeneMA5zNsVKAViUhC74SgaI
RrSd41C8j6jSDatMt+wwRGA4eAlrLfdmfGkmlsMQg7s/r+SBanTHYwq+nhAK+Vm23QGFJ9Y2SUNT
X9kFVkKpZeb581hFGj5FCAc27aKtGneYnovUoqdWRFBmeyAIjdq/pKqNANlcWmU7OJN5200Y/iAu
4x6bcoMMm5H+TlBPS+4vqnKe9PZIq/yG1LStMaeBrS1PuFXvoqYF/qVRLiCJ1nIMV6XavJDMlHp2
BIFa7ehGZfNugPiKF6t/HyG2qpnzaoT6ZZwkm0ziMzva9qG5oU//UNMwx8AYv7GyPsED2YdTfC3M
+QM4wqlY+JpcAMxcSBXIL+gpi3mykwIsca57ll1ADshwnhVHer3M4SSEYqsNr1NBklBW3fVdlqA4
WQ51ZJ3NOdmrLVO6DE+9S9uuEhmsIapRK9Vv3am47ynmx0oyBSjLBzLGSwCw2Qkk7EEI5YI62uMo
tNPm5tCHLlwigHF2c4rq/tky9FNeqkfSBjb04xkz1l/XMKk0i27nkJOCNOtgCeOAdDPPbPqPInbP
SgnHjItuZoyM2v6rpQvmknDTKpHctWtmjZZ4LlBK3L3WPp7FfZchSu5L/CrMzJGBRgF9fvSCkY/E
eNXad/je1H0xaC+jYyChV+ctCWGejv+Po0WzYbTasLpnL7k+eBHeTMTFGghfGosQLZhmpE+IbHbo
T28QD8aM3tUHOalbPa2fK9USvl4ww1DG5FvYViPyeXDRfaxfTaa4CiMdo2hvBUlaB0Zo71I3ObiJ
cAlbRnyQLR+1NK/6WuUTw9c4WxoXS1RNpjc59sRZqlaDUFrOdaVWx9IYAmaF0DB7cZsbyjnvqUuV
SN92CP+xgcbqpgWzt4+l9WpOqbx3WWnIS5jP8+wMvjJVzzPcqlqxXjUNHFudNC+C/jIKpWGbdWPu
lR2f2gmJP1mXHsTCm5GwyH3U5mvkVnapcVCRNbVcK1p7Am6IDNjqZr9pi89RnZFGyab0Df4PpocP
AuQ+SuZ6h37pMNl4jWU/MDBed23TeJlVbrQUDa7fzi5QQWlcqVlylU2ZZ6RGfLDjpTtjrF2LVv1Z
i/LoOLXhrdvlr6QLGPv1dmdajsqjZDfP2lF/deL+HovwrTrNydlF/+uo9SGqxQOBc4jiTHLkpmEX
CTxLRXZuIkGyHQSPyCw+B6fKWcu1INKdh6yvjklPDNNocc7Ekthp/QtSqDt3xqRa1vZVqkbYe1PC
oQyJTzx9anL31Zj1O6Q41cnU8VAMNCa2Wm+8LgXqVMavq7up3JUjT6w06rZCoevXpTHuQX0woihr
dkek/UK/x12iUUYQXGME6B0MLfUy3VICTU1Igf4vHf2fqmsM0NB7ERnDmIFAQ2vmxwJKS4TAvFQm
14TSbcry0hFf5v7mvvzLydiP8kn62L+8CCIN+gS6Sin544tkIRIZpeuSayFB5V4E6j/FeOinh++q
1z9pRvyhXb6+DN5Q0xBInoTzUzMihDBAFSA4uGufU/Wo6L8KeP/yY/zJ89saNB6NVgRf18/fVQdX
raqsIr8uJy60vRO+/eP3TyNe4xvii2Ku8NNIIbKRo+hmA0eeusO8MX9rc/zl+//D/OSn7+en3zXK
B4gxLKXXxIBh+crUbWv7BuPfjzz1//6j/MlLrQNXutSG+X/snUlz28iaRf9L7+EAEolp0RuSIClR
FCVq9gYh2RLmecav75Ou53q22/U6qte1siNcKkoUkfkN957rOhD7fv6NZ26IQmop05Oe7BnOdfqq
QsUo11zDWvV/7F3Vt/3TBpTx0I+/FvUR/2EGpRtxPjh2lp0q+FhAUOi7ug1n6jxs//4P9eML/fJD
FU7ilQRyfnshM2b3B/huyz2iruLq//is/ea5dDzGfqyTTdcUgg3Ajz+UaRHEzsVbnFpyb7PXAT9i
8OU//zi/+zj/8BK/ftwW3KElGobiVLivSfAitf/Hx1ntDUCBs8MgmfjnHyGpUdNLMmVOCSeg6ayy
+f9xeDGt1W08yDw2LAV/foVCK6jvbaM8Lc7r6Fz3ACf07u4/v0u/+yTzIQbRJXEfGwrt9eMvwoty
cEakXJ4aCr957YL5tm5JMCqrDbuDv/1agLqEEIYCbzJ/+vm1iMxB5U7oIdRqahKf7XyEnKZeldRY
528v9c/IU3A8/PXI8/p9eP3K5/jXmHD1VT8MPLE1KKk/agmlm/1p4AnNGVcBalsXvCInwPeBJ9Ac
wSLY4deHfZcv//fM0/uEBJaccE8ZEQxmq39j5AlHkQ/Bv487tZZzuNwsj0OVuSvfxc8fEuQrlWkF
8XyKixtzdrq1COi9p857mBZ27/qMHMcTxRU05LM7y7e5yjR8mgsBvBHK9Jkg3JXTeZdt6p3Qi5Z0
W/YbWv1j1nuPi3LsjcVHjz+71jAIx57zklV5hd/VFmtjhDQq8qtyNMf1EAwe3mRqXb1GY8llwEgw
fbRDe9ma3JMrIyAyBhIiSYXWc5o5j+G8vGEaYMyn7MN1/5DG3U3jyeuYqnOne+5dnk4oOKfwOhg6
MhgHAiO19mC4NE0TK6B8KvmZl02CxhOv10XvRltqgoCYtGJbRNoTmZprj7BgpM3XXELbReU5Fw6R
fUHRGv4y9pskrre1C8cDgv7KkAaKpvjUpgSnAneb7xY8UvEQsDCqWnxoODitxCRV05YscAotQTRp
veQLYjcbRr4/wXK+dEi43dSj0W60iQwSp0w27qgmnUqtN+MiG71lZRr9nT0T+Ls01mNTM4dbh3Ej
KdP7ELhYT0wu1nGbOemDMY4UeoNLRvOG3ohgzCzpBnJQ5zBRno8wkxvw1jTDODrp9v20hSOgHIjj
YPt9qyTIIcRYXQ7rb8CjwDIepIOhLnfkewUGKdNbbzV0y+dFYtKwWz44UdA/dEXxOc7em8C6rCW5
SZZsL+a+R+LsJDSFxZ6dreZHaQWD3BmOnk6MacpoLYr0p1kSRVcx68yt+bU2rPqBcPZzmMuzYQwQ
RsaLXky7KUmCfWwF5kqLgz0cM1SRtXmYsaWsPK1yLmZthiOdu4/a0Lgru9a2oyeIhYXxoCTGbjBe
LB6OO72sIK6EuPwGFS5SV7s4Jv+cEAiYIwGZRdZWIbFRvPWPC3OBzBIfBI/iA07oe1wG8UH6MDvR
S5g3N1NEqvXUufu0WJ7bBreZXkZ7xnnOOmOeVUzdZd4jfYbj+TyQPUeP/9rNse9Y4uAl8YZE8Bey
zbtNYDKoS3Va76xRWfPNA3zBAdOgbPnW0kNK0nS1EH3TOS+1RxtMGsIRPNN5iYg+MIMnA4f7Tp/n
dd73n4kzPrMR3zpGcTKldZoqHdOovYirxB16/lYQ9AYbzgy3afE1ZVna01/4rYpfjkfylkmRw3Y8
38TsDl0dJSVRcbiKnfZ5QbC3DmzxmpOzt7b0tFvrBGYbWQj3Zpjv7QVOxVRmIKQa574oQryL+svi
RsfMm25NASKHkHnU0t7XgMjg3HP5GDk1ErOcD2BwnyXL5EMxBq0lKx4o456P8bPToWU1SD/qYvu2
9cyvHmBFP9HGmzJgAJW3huLSCfTPAck0mU00jMt+nRX9lBHS4Z3TlHOFxhid5ID0CgTSuC1s720K
uleShW4Co0ED5VjBph31YJ3Ptec3iXWosOvfLKa7Y68dFbfBUCd3VWGQ4Q34MEzJkC7LK3MJ3wxm
Fn3Wz/s88DS/SwX8jhADfkXSPZCIYku6zzvR7YvfO4R/gYHF590R0F11Hu+A5yD7tLDnBrK5Wgzn
0AmDFHfjIoq6c8PcC6+neWEv8nrqtUOZ81PG4B6rLtKZRWkS3S7W3ygHk+DIP2ryf658dUP/9ZV/
al6x0fzmyuervl/5hvNJIn/i2qcBI9CGO/X7jtNwP3EJ4C0RtksNqKJuvl/55ie2mDaaZ2Lu2UD+
6KExVZ4egTVw9XCjUEj8nTufPeYvdz6aNyIk2L/qnpCm4f5ShNY2G/4RGvKRfLTIN5csBUfWe8FB
m2r9UDgttjdNn/vPMoku42B+wcy9rCsn+WIO6Gy10RqdvQ2EefBrkxQuvarxbyXkVq/hepePaPjR
JJP200Iz4PFaYb0DBDpWZvMqEV2/ExoQgCUrLC4kHGAIPUiT4XzcwpFJar/L0Eqvs0YO27pJyJCa
lY3Fw8/SfnO2pHGFyyVRhpcJ85uGHJJnGjOMFQfM4fHHkKDM9FhZZjQz8baZstG0M564CGdNxuC6
wmnD5uK44LwxzOUqwokTmNqVJP/ZwKEzMRxZW3YDvFbZd8p2IKOqlREhNvZOr7SbhGf+XAXuoVP2
H3C4BVE4rXFVtCU2Em1M/dnG1dlgO8TH0Z+mrj1pKW7okQ0SEAKqh7Ic/Sgkk4SjqUNYEZtz85Ga
3V2c6XeYVHKLgVFX3Gg1IYWmTFl1VNuwsqNnQqzXTocdqQ3y4yAzgJ0lwLgWhYqomFqK0mVYScLf
bOZ3mm2N28rldnDqRWyaJt8VtTIeZTY5GFQtweLYG2EU0WkIR67TCnqFaTHqnLTybI+MiO1x3epz
A46ox7Iu8FnH2tEAFTvYhuInVfKhJdCCIyxmSJy5Wz0LY3bS+RqHUbNaKqd6sYIen7ehMbFcFYKE
5HZmK/7Do/ibkc3/anMVJtyBmYr0RTCx+WXkgaJ31FMPWp7Qo2oLzlu8ogF2CXROaa//aXk4sSw0
MT+86ZtXiNV/tDcq2fm//0spEauy/V3Tw9f9eQKSYgx2xVFHlgMNjGPu+wlI5oPpccZ9Eynyy/r3
Aeh8AvDO9up7Zg7t0L+1iJyICBdx4zEBoDP6Owfgt+7p56aHISICezpwE0cjOqCfm56k0VLhLCI6
5TpYvGMkyLSdDD1ySQanOLkpOeIul762P9uRHJHKagUsyHHSxpdmcdpHL5LlnefF1rIm5Hcst2bh
dE+t2RsBBI3M8e0ogUQYa4+TQGIGXIhlgRApOzobYkOx60Pj1A/2fZjNr2O4vIookIymz3br5j75
KDuREesnZgfhXmr70xBseq25RPPNiq9ln8UR24JamV/TukGkPjawrXmoEHmDD5sxw6xBs6nw8mml
FY4L2sm7kGHTrAae8Cq3z3Kwzjmbyk1q4lkJpuvFbVhzDKgPi/quMsXnyAWQWAYsQIqCEwFL+LJz
Yy9f47BDViCtc2I7V4PbPoucaDG7yK5gpxz6KKWWDIS7ka0DkLiBQ5OPlbuulvRMYf1Qy6U6mg2Q
4KWQbBkUyrOBMrEa5QD9MWOD05nY7CbAOlcQmIHtV8+mXQ/r1tCrTa8370vbzLAWpwxCV7/P2oRu
L98bKTNwh0H6rHlrKTnZXCG2fQn7NEJ1wDdlgKehD9rHBX+Tw9SvCq98LKL0q+Olt66MNm6VfTHS
6N4uWed1XSKvAiu4gFJ5G1cq/tpygHnnJft0QmtCpfkpM3mObPueTQUYC8v5apfFYcGAWM0uK3vd
xXFGy4i0oUzAf0+HIjaYYI5gQstil8WAVIRSxCBmgRxZPCZ2i9+GFf/WmGLfrthCWJy/2ojWM9Ld
rayd4bp3IV06c+tS8suLjjL2kc3oRAHZ3y4DikXLjKC+UZ3Xmm5ukrl/aObkLRjYL9tR09OK6VtC
up/Azz87xE0KZKdZzqE9qW9DH87aTIZPsJwyWDJtLGDswGKZy2s59FeZl96g6fgc216+LdKFye/E
8otVfkctMB9A1NELW8lVKUokjqhDIs190pxIQ6kDc9xIpmCtNfGW/QwRu/nJ9JqD9OyboWUgRmuK
HciRW82sP5NATQKrgF7GJWeXYLQH+0T1QmqljQDVwww21EiEg/beTZw3W5uOjd2/iyC/bzvnApT+
VTKkxOVGDnEJmdeyCeb3gK/8a2aMPGILpnp3ykBOFvaJHx5V0Rg91w3MX0PPTyIwbjBAbGsvfQPf
t3ah9wATgkyZm/lN15fuVWEiLs674imyEb0jjhQUT0V20LK+WltKzBPotr128vwVl37qQ967NdBJ
ZFrJsBczC64a0GzucpUV3bE3gOb38oVo2lc0w5eLxYuO4jZhsZsF3kWEXqoFdS5N8FgV29k4yI49
Cu5VIeknuOg2UqhELYMFphVdeog5DrHRFLftlAbt5cRujQOiGFY5EaIbj65xbyTuU58DfA/L3CC5
EN/bts70bocZDylSUaIbm6S4mWZ5icLfuI54sNb8zq1TwfZ3ZQ1k5tidMz0tdRGeG8PIDolMrF3H
W+CPmZbtDTakKyIXHXMVQt3TV4PdRftOM+E54LXJoD3oBMEmJJH+c03/cU1zp/51m3KTvX55b37T
pvBV3y9pbmKd7ROy+29yS5379s9L2iDbRTKWtDnHWU3R3HxvU7jZgXVjCxCIgtnz/XBLk5NHSoPE
xiIMgJ40N39nNPkNg/LLaJLUB1cw6cQYQ6Py8y0NQHuQnXTGU4csGEIV3vNhPjvlMPiZF55yo06+
UAkXIPXMe7MzmXGZWnDHsvtDi/QtglG5WkzA/qELkL/IEI44KERw7741YWqsp8zhPuyLs/SykBuk
DHbjQIB3jtc1qpw3GJV39rA8RWwFEGN0QLgqCFCYT4kiqC7NinTL3CHu1vSK7ZKJO15rM3bAupqR
dAbRz7h1XSRz5PIduxSglc3TBfDya9IS1sb+WZfTKYIaTWom8cXIaESk61vpmsMqkYMiWZU+6xx7
5Qik6HlGWAsDFaaqa7Pu6bskYoGxMvZGxC4dznbrMwJ1/X6uTN9Mg52dZqwWzJzeppL38Dehknub
3jT9vmJuyykXr+N8vlgMtONdEUGd1JdHy/vKDbdpxHQkvO7SGbpnfNLxukpwZYJk5oKYGcPaQ4/i
ZZrfB728GAwH6osGpkWPHkODXgzrA8ov5BBcjMxCl30inNMYO9cOAPawbB5LzXpDinpwyhStx7Kx
TWddt8YFxtlbMSMbDC377PIOBYR2rLSy2Y5Zdt1I72zH+ls6LXjgyZNdWTq5Gp4zPuRCviQsO2mB
8BMMhdzCVmhX3uQcOOHuNYUZtBf9MR6SDFROQmB28FBNzTVqwUPYYJRts+xdatHnadDuKxM5WTSd
yTDeQl157rXkS8Y6ZWVZM8TFintjUYIn0dYfDsxHvQeWQ2TYkV/T1Qj+jdZ1E8gPhFp+IPhxxn7Z
Vo6KuZDxXYmiF1xgudJDZ7ckjrVqivKzWdiwrFoSnufpVfYjny8DoWKuMOJDVxLWnX0lPPvJa0wy
rDEcw1m57O2ZoNru66CRIy8i895qQ5JFgKMCp78x9BE8HHrMDTzsCCLcnGy0qHdBWrnst7z0Mel4
kxZm0SuL6SLp4uLc2ZXvVfl+1nMSuoBrAgENx/Ba9OXj1L7gKzZ55l5yOH4wIeD3hDR+SycfynqO
YLY33kWAfXcFNXPayQGRl94DY+xrI/FnhZaJteoDzXDnIaGqOyZoUZDMfgfjbHkYvo2uLcADDJXD
IJV3RWAyCEac8hhDMvUlo2/cTPgeGIZPhWQqrsbjLugwp/B2kD+ZnBuuu+nGJrtE3uH4+UB+bDWa
L+VgJf6iRqZZxEe6GDvcHVOzhv9orrU434SuN925FYP6EjHiFC1fVYsc16G7wUu81Rn59yk8hwWo
hl9AudikLAYyx7meJLghFgaL7j7FLBAil/yPjpUCqu8LQHqQhIh+YuUA9HVLQni3XlhGAGxkPsJ6
QkYFXl8WFqm073h3Daz2wBwSxsmsNjxWHI0JGzYMxrfWlo9laT7nOuE6grVIkplM7+tlUdLQR4s4
GQJmgWvTU12Paq9SqA1LGmUQSiniaZhwjCswRme9oOCpVqLW/MZMP2YWNlXiPFZ1DJ9TvhFLj7E3
d042Kx67L3Vc8hFAdLYTCHBCba0Hxps+JWeXFRG/PHZFyTKuutR5AAk48oQQ+26NbuSj/9ngD5QE
1rC9SJhSEkBuMTvQDg7zyzYSF60aaIImPwMwYLpvXIIWPgR9d5WqEShjNmTuow0FZcjBx8c5uEqH
QGWZG4sfMEfVSPHbll6dbDtQmFQb+nWhxq7wGue9YBK7hMGrNudXERNaTY1qySv5oqnh7VxN07oZ
kfu2IB3z2YM3G9ZfRuQNqE5JVWa2+hC79iGqqi8xPtt1KPQc5GOz1wrx4JB3vw4qfhuZQ3RLn+ob
N2AKYo8XTg7HNrB7XEHcDlX3xROjXLV5xmcNoSbTlUwPae0a3cDZztyk8Jkatts26FoPDgtV7D/h
W38EVSrJwX+qiPr8tf3fFZH6qh8rImJ2MX58q19+Acfh8mfrqjODIECcYuRfFZHUP0n+CXgchpJ/
jXu/zy1Y46ImYbsqDOopZV35OxWRo+YSP1VEzD4Ek2MqIqAAeFR+roggHRSFSSr1ycrGLt3jtYNa
4tbpMQmytVzaWzdanhgK8jx32W4MvSdoHy1BW4C/y3DnBRkrWI6YhqGlb5bNrT2UeMN0wPmoNPPp
wpzazdLD1NdeSKri0OcUC09G4oXHMm7hxlrUD46Bqitt0fTb8/KVtSRivJ4dmgzcF4hyNOWmhl9/
7F6WMt+P7JM2pjXcsNAy/RqzG/+uH5ZhwqiAqFoyx+NBzh4LrQd41OjvcdV+jIv46uJlx5eZRsCJ
prvcnTjCJjqjWXtqFvxnQIRY3drueli868Ke54NGRDvD7YFbgbZkCrgQqH75S/vB+FHyH+LRHAwC
dbEjJiImTy8gBCSPgMwspflFT59Zb0UtGAoyjGOI0lzSXrQJnK7ZcITOcm2lOrLhIsJwv6lAxiOJ
Njvv1YgliLR4alBMFkOEVROGGZbEml2rBq5VEc6YebNQ/0Y9Ey4oC0VCM8XQ4HFUfLQ5hJRGu4jz
dMma20Fx1HBd1ivOFd4quqZVq3hrkSKv5YrBltf2c7lAZWMNN/pSkdrKsqXDVFfspDhugSK62Yrt
xmdTQoyG95YAfosUAY70P/aXqYyPgeLDjV7fXkYh3NNJ0eMQQgKPrRVTTovMYGek/YdQvLk6Auxc
KwadAYxugL9AfIUHJEWR6gyyeVexotdJ3X73FM+ur8fRx+DA8hTYXab37ZqE+OzGNUlfA7UDE09j
+ekxudpJRcxLh9bauVH9niuanqWm+LUi7MGgDy9557g+FH/PJXsRDApMvkCXvDeK01cIVhfmN3if
oTh+uSL6VXMBoI4hxqpV0MDO1ZrDqBiA4QgN0IuwU1Uq3KPq7Mznlwe7v7U+YgabKwlQ0CD0ecf4
G5mhrniDiVdRR7mufNNzduyU3pCnFaGQ1S+05UoORMcogGGiWIZJ0UM1VHzDJhH6flxITPGjbwDE
SbEQPWiGyUeG23lPJKC4LSn4NqDPWuLnFx1zChVFo0/3mWaE+IMyUAWml+Klqh8Zc4VrfQm6VUlk
rN9G2JuH9kUL66esLCiPXI8FQ87mdMhLomB0qJDOnDwaRXmT1G38efYQ3IsojLAJuC7oFMS0C7FC
RcfAEArPuizYwXq9/R5lw2d2NtsxdBnMedrHmHSMUor4hQb+Eg/W8wR0cme2mr3O8kYdIt6Rt+Ki
J9W+5DnV1PC/y9172E83tRFdVkTxroqmvHZ0+UXY3tOQacSwNBPQ1ca9cJtmXy7tXbt4DyB8Al/v
qGfqvvGHZI6hbMTzzhTIGnDtoojIi8PISqFxo3OII3nlhEzLehivB0tfXlEJKDam2MdldJk6wck1
x6M2mfVmJtyEJyVuViRDUNLEWbGS+GfeEhftgp12yT40BzTusjfRMHvy0raxXkm7bFfSyt+8FihK
rvcF6uH6phy1OxQX4y5J0/gyxCDBzhsEQjqPLt8SFd+sdfaW4tImHmIMb3O0m+gQMI306uFZdLC1
SJqTfafShpMg9nY6uJFzFjbVxhWYTDhh+l2b2DRE1uTtKmnM/pLQuCUqMVEPnHk39XPiBy3U+5gI
Id9bEhsjhfXB/muB1b1c4CY5oSk45GZyZZEo6JujLnYm8ae+qVfBlgjyeBs5Fnl6QWBspF4SsWRP
lkKDUJ+RrBTg9dkJU81fE77bKOepFSNkcsjcTIIiUr3nilNKV6nCI1lwt1YzWMr7HK76xLB3WoJO
JMlpamvC1Qm2AtXJMfUvhs4/O2qJlu+vS5276LXtfrOhUV/1Z6kDCBdLLeMVYYHsUNqzP4c/ZLmp
GkPyL3/Qbv8sdb4xcokXVUGjOqgu/of/KnWoggSra+DfDjQJvvxvlTqWqsJ+KXVYhiNbdGzLFOR9
I4D7USgp1ItXWZ3d6MAaGFf3Leqq8RFpLtFVtXaqIh3c4RIf00ywP5jdfT3zqLkLsilax/eyj4+0
GvcyLbAiGLWrnvVq1WLVBOm3d7Oevizweer348ifOFFWQKk2KM5fWqvjSiYLmDWE3071a+RAuO/6
d4cEidEz/U5DxDEbFQGW8ost9R2AQfy6bUmXGuf9PqmaPbzzQ5tgHBbWdsFsQnIxYhVgfrYoH5xx
uB5F1OOmlPEuWsRr1jCx0vXnCBPF1gnYI1V1DkAfCQ3ufOQw0m4vrakbtm5QoQPR9p6Z+GmU3KFt
q9YTsCt/qKbbwlB3oVttGSAjpOGbO5gUlevFHYlYLAggIKny5JnZV272ajcLCrcYWPhKm4P7JisJ
bISFoBcjRIE2OaZA6jZxCPUSW3JG0phjrZ2pnLlIXJ97+zKyumITjtkDHlyS0bFs4H64jRp8uoXr
XRqDhpnJ6o4EY93XUb+jm76Np1iD9sREeM7Hnb643LEcBYh7b6cItZR0vZckMc5zC9u9DkqHnZqZ
Yzo275c8fiHQbzNmJHPGLgw2M8asiXcwqfUP5QreIxUC1Bj3s08hB7U3MHFpR09RwvcfzggHFgIr
1zauj94Go1AVpvTztn8vk/RCY/cysrAiyZ29dmdAgYx5HX1qSa8DeFYW0XMw5+epkRN5VxVOEBMT
SEipURcouboZjd7ICbem8fU2Rp7KXV72JzCST5YR8HtvCTkxpnql59WL0cdXUEiumhgnjxYaLooD
uG1ScHl78ECxRxFmkXQQ98zyusDSVMeWQ/gsKQdhG1/rSflSJ3XMsF6JtWLQgkwI7JFvdFQ8diMj
5sLQb4Ro15U1MrY0gkMT9hf4Qx56bdiVbXGMyhITNMFybh6zUmwHjwZ0ZM2YRXSx+vCs6PntIIhr
mXZjXM2UNGzCCrvEf8FPNTs3ZT1CMfSGOzfNth1uyOW6G46BFm9n3bsIp+JkWMWNGII9WNUTCTve
ZlAeemXFU7CNvoyWjVgQW9jYV/iAxgFZBTQtNWD8suB/WuQWTDlb5OtRuTpzffiAGU2KdW46vqjU
owrPYUrszVi6H04y9RelVjN57T1vZxTWRWTgXlpwkzaUjCYMfUJFdpo2ETw8EaNDKTkSY+ea5K+i
4Joi5KJBmmzzQX7t0Z1v2Wp+Lc3huV76L4szElzSMt8KzfEGqjVMjNge1nNndz7H0WCurb7A1ITP
qDtw9qg2pcLaONU1NJq8u7AKLISICivbehi+0bMj2QDSlpBPw7EuqBucCdK2+4267RaanBBnCtPd
S4Qt+I9Na4mvMdjO/d0fRO/RazTz0E99eRitIoue6ZDEcILmti9DACJVggKc3G+5jVV4S01VZJDm
0gbEukCQvZSELWwbFfniavbBcqZ4w5peqhi7LzVNBU41m0FkIp9TjY4rGshBMvTFvjRVtExauND/
Jc3JbJWfq0C+RkkjNp2bAFxZ6g/EbAMcGDU+UsE1uoqwabpmIkFpOs5VC1bTS7YpeTekjd9qQX/I
3fLzEI8fi2aux0ll1hjgNMPKwm5vTpfRfGHpjEc9p3qNMSKSYsDUCeauD5gKLmM33ukiuQ7I5NGS
+SWLxMdiENbThtZHOuSPhR5vtOVSqEQfaTUU7M05pWlc6SjnoKFN2SGLnKOeZvrGIxaIHf0FLR85
QSoxCBAreDdChGxHza0tj0xpAoZQpBAoiZt/E0/9cdGhflosOnkXKoBrmL3akp2ayQYVUETFPJYc
owW5DIkv2n2XbhYrfBIq8ciVCfEFGunYbuqNvDgLWzUANBcPgPakxMYwjrD1kaSUT9Xo08xcVW5H
ypKLjzs0nFM8FkeECAhwquDkAZOArE3Kbvdqe+Ps0yXdzSq+aVFBToGKdLKS/iHo6fj6sXgqs/Iy
0VK+x3557lUgFE+d5DOwIOLViYtqyI1qPe+BA3qrV9lVmkfdSoTm3iRpChnxTouJnhrIoKpH82Zw
q7NnlW8xFx1KX/1a6t0B4lSwZkgf7ILFaNCMNlAMBq4EFXfFSAU4EglYnjW7qyEs1okr6l1rEXMf
y/aUxj1sJWdbiO5xyI19laIZlypia+7l5Kc60jTdcOuNB4F1R0dE7JaK57Jh4WDvNHbkiLgXHW/o
uo2yk07C5sol36svCPWube+SwfVDhuPan0suQY6srQb5daeNBj5Uz17PCnre8KQdQkPc2CpWTGsr
ZR7V84tFhY4N1M4M2VUQmWNeSBnfQNl91PQSDGdB8geHHAecNe6XXPBIWO6NaAYizgxG+zapZ0UZ
PplWfWoL58tCKtpk61uoFc9lSmAaKrBNR4RakFfPeunuTdncjUSsmYm2NlXmmp5FB0EIW5hn+BLF
u5cul2Ef3yIiZUbb6XeFym8rSH3krI/W/+xcv+1c1dTvr8vuczy84y/++ht1qPrC75W3IT9JlEcC
5NofdfKfhTe6URvHB4NEpJkqK/nPGSOAdZ0BN3IqAzqqEm/+WXib5icKdQihKAItAR/nb4VTeD9L
6Fj1mtJmwgjC3SarEcPKz3V3JIoB5Ikpjk1Z15VzpRH7RPALQ8I25yyUSXryemGmkBMCNp14YJet
Mc8cunOHHsBlRHHqy1pjJDJpF5ZVmMeeOnEzirY4oILO71jtjad+ktUVYZPlly7sxkuRj+mdNEZk
IGUCuKWbnPdAxHJfSjfYgthVWM66Kz+zH0W0rg0M6JuxWrG53aXCGDdLVpAJgRzxQzPj5SxaO+7X
XlQQOTSTGae7HipEu95MIhEcYQkglchJb/K8D+4FI75zT+RodKcnVhq2u8wx6uViqSLSnRvkuiaT
CacIBS+INqZH047IF1g1fX05v8LVG26bxnDRyJdw1Mk2twf92rarxM+tuE4etGSxlL0idRzC/ey6
wRZuzjnCibn+nPY958NAFsbC8HcDARrV6HzpdhVgPCWRJUbVsw6DUs9CgkZImytNrf5NXqvVSmo7
x4Vpwv2C/jtDtPA2JLKf6YQGZy+UYrdEutslGVMXuK0kbSV1d+HWbjycwYsa25mDjKSbiA/meMy9
bC60P4SZ/zTiCnL51yfC3euXBtVk0ZW/2Tvwld+PBGF80tVYX0kmrT8e/D+bceMTdS2OwX/9C1/1
XYmB3MKkfyN5gT+EpUQa3/cO7iduN3YRILSZYP3NM0HIXwXjmMRcYljZZOjIJTltfj4UzGQoWARO
44naQ+eejRHXDlHiV4nyAE0d3pi0ZUBmyeFlTPJDRVD1ztZdh3VhTErfDKo9KFzjHIa2T4Ane+25
cED7xdpB75ZXKxALHP3ufbTr1negOqyqLLgze80+gp+OyCI3a+ZmQ32NJ9xPwuixi4g+1ot4G3vu
Zd6JSwroj3SaH8cIyYJMCeqG2WGIvRej0PAShrRxDlU3yUhyQZ6XbSZd0u94iBiQyLwnjnwYbe1z
Omjv4xDVG4c+bz2N2IfQIH6lFw8R82nXHc8/Y8piXo3pWKwGz35T8XmsNaG+ZGglUJTQw/Vz+Rjl
5a2wQ98uYV05MxFWdd8NfkgocngM4wu7Ms91a0PWCd4XhQoqKCSAyphNek2NsV2m5CmvzVUggi9R
Yd0PFhm0evIxh8oDk4lbt5ln8FJAuIawfSg1CsC5p5brsyjbTl1G0+Ax5Gzs+S4PO2vTOaPct66e
rM0sAvtU9GgYSrms8xh9fxskns98st3ILtynER4j+s9dj/DhDKBJcHbi4UpmVAZGTGKeVWrmsSHY
kQguVgopfITLhfTRsp2gH+AM3/UTYBUM1YD/SQmXfWLt+8Cb08ci1JzwKNolf0paC21/hrSdt29Y
GGSwVxqmmJWB5X60ACOmaDhFHdRMlBEsQ7tvi9GGBuhrnpWOtvGMzNvH0gi2Fjiek6PH05qxMfwN
MRfbSo7lMV9E/OBCv2m6eNozxPqcAi9kWl7Fp1EmYqNVPX6E2b33ivHCzK0d4Uk9rAkj26Nme9B6
5qC9Ppr+RDjjjhzJ8JzLvF45LYbktsCup/Negog+TjDLQDLHDjW+Qwx8nU03JD229HJjdR/Ww1uL
BfngpGLAAhe9VwZj+0USdh57xrXmlozzoZ7y1lsGO++u3zcEX+wFvKS72q6z01A6xX0qQDNVRhyt
B1ndl2636TobwUfP5RHGFmFPKEb6QGM+Dt1q1ZUzPB8P0SX5qus8LT3fisWIUNNwtzPx4JfdrL9O
QbWuo/ERmyfUzkKfkauSxBpKj/XTJLULAmrHz+S/j1Ci6mATu12xm6oy/ZJiF9hnwH1WS+2SLBRN
+2FBiNR03gJUe6lgrloEB4+mEVxFUDGO7jBft9xUmMqwvON45MnMh2Y76e606f6HvTNZrtvqku6r
VNQcCvTNoCYXuH3HS4oUxQmCkij07UH/9LUOVbKl73f4D889tSSrIS+wd+7MlTplCorLsiG0DA+t
NS3rfyfUHxMq89rfvY/K/1pRufGX7yN+5R/vI5W7NcIr5+b3SZTp9Zf3kc0ir/M6gP8AePHP9xGQ
RiLJIDV/3rr/eB3ZH5CaCeXzDCRhoFGI9o/O4DKT/NsZ3NMt6s4oesYUyCoof/wXRIPoZ4t6PVeh
NrSgegf3mVz/y9yGpyKhc5kz7xSJoSP6duMt5PmDRNSNsOrGGWgd8df9IjF2JF1SH3NutdIl5K6R
uLsE7h2z61MFB69Wm/PMdEZAxj3VEpVnVuMqrI3HCIZeIWF6UZffM1Q2vgVnjzSMj0It6AlSb56K
wDm6gJjatKWLwvk+obNt0rF+KPT00aFEbb1kWGZ6hfxf4TXPZk9XSaLVQZEp44bOVEBklbIhe9AT
nGm3Y6bwZEWyWYm+OMToUKg0YcX7DECUEoST+VLngzLfOPG6w4YyshGVtBIdT6QmVWtM2ajDgYfE
RfbI29RaS5uamIu1zuML4I6xHmgW5h6b3vXpTGkj2nlRESbo1fRb5zCTqybFQolLW3p3yYdHXdBp
QmDc87keY5WZqwdn0lAeC/0lBfnFbQ3+ETAlzPs0VduhEIdGLb80OgIRjGYkoTV2Ol7JdmHqtyaL
Mm7rDhrqnH1UY6LIDqYAnMuqfF0/lxQvc2mtiG9N1Ym3/+wrjrcuHbLnUb0v8+oiNLEtwArmnnOY
rPCZVQuzV2bM+8pON31pqnsNAxfQMkFpdTeBTLSh9ag5AzB/nk9u1CWHAcfhuuafb+VqoSIxksUV
msJH/IykxmsnIRLlHM13jlknkWbZO92sfSedUbp7XvT5pgokWNUWqH/SJ9jW6kOExZMiUFRjSp4a
GGoKlDdGgJuVOnswottsgBAsoWsD9LXOLa6Th0466TOzx+CbtHYItp44tXrYnOknC5CbU8XbkVdb
IQlvHqi3CeRbDfqtBQEH8v2Z2sudJtlwLAC1b0te3AI4ji5uCHKSJTcBlbMlXY4vOYVzffpGMe1q
aPmzKXNkrTktkBoATzctnHjB1ektzgLJr+v6/Iyp6r6QZLtZMu4MxXxI+vFLqQhE9Y9tr2k+qd5b
FKdBzf2yrJcDaNIn1UtHur8BeYLTS+aUGzZeEBpsXgpJ3FMczqSSwWcA44sllU+TfL4GUJ8XatVa
pUZisRdYAcwG+O10XmaVUIIK1B9nqi9UlYAylRDAKL6OQAGbdjzFlvaUS1qgqs+bRvIDE1CBIUDB
tChhL3P1pt/iyyCZg8YYnjxJITTAEeY5P40TAxXlHZtbsXcBFw5deeRnLuDFDIPMvtWtsnfQISim
GZ+pxB/GqkQhKnb0OZX112hsaEbgEhWxgwX5mZalzegNa/ii29RwXzowi0VvKpSwdIGh9X4HiLGN
6udZkhl1OYKOJsUIQBtdrckDTXIc29Z4TgA7jqKlohnSY+WaNwP0owMCUpcsyHkZztYAHXICExmW
XNfp/KFz0dlyQPmU6tkpUsWjU9bqKk/V+w7kpF7n55gTMR2Fn7LCfKBE0lnRU/jVLCTmoaW5TGcZ
gGIZzagA1NLscp3yBkCXfJMcKkm+jEFgilDd0LSFY7gfngu9CQim55sBbGYFPhPS85GSMXyIo7Kn
R2anAtrs2mZfAN4cB3yd1FxOXkeOYLl1Q0aCsWjOyLDHqeZb1mUAK0T+GAL1zMhymI2174B9CrM+
YHChmCx+GoCBWkBB0WNyPA3hZrCggQ3ulwx8qCY5ogtA0VBvTzOA0VKSRgXI0bjKjoi8LxMoUszh
BkcDABRVo/op4SxzSDYl+FIYuscEnOm/s8n7bGKiZ/3NbFLlr+Vf7MnyV/0xl2jMJaA5UclUnUX5
17lE/4CjyDVIGwI5ceUP/bkny5+KLm0AvAFN9ot2xp5sIDhL1jMTjaRR/4PBRHP5P/0+mDgsynJT
NnQLCpoU8H4dTEy3SFtU6Pnq0rt656RcCnmdO89kxPTDPGbUFmmds3G7QT2PM1PxsAxxwFF4eXK8
sXuI1Srf4k5OjjZphLWjdO26TBqKvxv1kuexdx7kBG3JWdqYOn79gMgYMPUD3qzqaadwcp10ZgrR
xeR6aiP7mvDx2KblGIKxxJrbspu/FHEcHapG4oephAp0OesL1605R89Png4pNjde57BwMJezIXTk
IY+l3BpaqvsgW7BJTLl6zeRu0SdZRtiQfGTM4gFWSdqRQO6zqS7yIpGmcAm10bx1ZRFgUY44z9Wf
4ykKATZSQZrVh7RCh5/SMtvri4d1n7H0LtKiZzWboR0Y7casy5vFp29N1b2y7exowcvbG4c4Vp11
buRHDWL+ns4hL6DUx9xmeWmuB2AxO1sb3BUXr+zQFDWjWzXcljYlxJwL7MMKJnLFssBI4sTXI++S
GpzDh5l/HYWulPuEyHrAcqxdhSDQODtjvW9icej19AVxlC2NfDbuNztdaxEPnaihvg0aRLzmUNAG
uZKpm9DWdqlJna3SRjyBh23RZSEJrL5+BZiVnqfOfFOySmWFJNNXWKobjIxdVJY9kIi4EVkxVtk0
bfUhf9LfLfOmh+++1VkFG+2u0uF6RgKyCOeAWlG3kw6wxmkIHdATu6IOEqv7YEZEOTihOmVxFIb2
ZllVvxH2+DDElDUK7kESM0JvbqFencjblUW1HQzrlE7euR7Vbaz1wH3zCKtiaN/NYbpZouRaLElH
7ovoCaDw1WLNZ4sDZp0pj+ANAJ1OJhMf1eVLH74UevvFwOwfeLH7FabNFpDII6k6qGdkU+BfEaah
23AuLk1mVYI2Cbv/arpL62uGxTwXVtPJG8uaTwWuu5OGiNqTQ+FQVXsg1h2cY6cIoOf+34fxj0WR
xe1vHsavclFsy9f2W/JXD2WJlPj5UOaeoRly5fPw/7wvd38sixw0XPzSiJQSMsVj8c+HssWPsBF6
SIs2bQ+yruaneGl8QAmVj1GLnBn+n3+0LcKG+4+HMoogSyfV3ayKvANU+eO/bIsexaK1xyxwUTLu
s5YU2l0EwL0txffhXYfvmq7F8TAr6PPgW9Anw7ER6SMwfQhN72p+KYV9GhojztC2FPynd+2//3EI
iCaMATqdnEPKkaD5cTKgwo37QfZ+S+Bq0XJY6N6vDC73aQZByky4wPEWwZGypB+LioUK6S3V/Zx2
1YdYw5Gx0tM03tSUry4VWIzdHCd8nq3eeSqx1kASh+T0VMPLmUA21MvsmyWila+IpvQzo3bvjGyo
yRQ16WfFqq0dcL0OT8yQhwhlWuSuiM0k50WAv/KLkHOw7yZ26HuVvi8jtfDxCPYQNp3i4tjlcF/A
91i3faaboMbLYdcroYXc2LgvOgbKBViWVy2sDr09rWhptRw/1XLnnjQOlpulK5Jd3jrL10JXDLDm
5ixKf1bZSIhpe1bKC9E0ekDx7mB0WwvdUhHc0pXhM9BtTcMYjMfaTLU+LtfcbDizcDLhFQrWazRo
Md95ER7a9Vy30dZBV76JdkhfSOeJm+cIZ5PmtobWCMbjI4n0i2eIGlSQwr/mXalEA5XkQiKoorDq
mz3VPD1O0URPP2fwSD5OHiAf9lTZbjviH8h36nvxreLKEtyGVXo6FE5ijm/26EZvnuzSJXsbAkqP
KdlNZN+uUGjeLRQ4mZmbiOfY0Or22iCrsS90q3+fXD+eXJws//7JFSRv0V9Mkga/8I+Hlv1BddGQ
LF2V8VbJ1/upcPHQIrDhAsq0iFm8A/t+TpLGB4B5Uvv6U/z6+dDSPyCXGbKtnlrIfypx/RWixzSY
VxllyZYwocqLzC8PrYRPPcaEzjiDRcX4bGUNd1K/t63sUCR88wLPGxaH1AB1BDoY+3JeHnpCmxEp
spPRp85rFlOK1DVAIpqX1Mk17Q6iXA3KbYB3tRJD6V2LqsMVYPR5sm+6Wf+IEVOx9ppQW2XleUp3
LUIjPGSzrXZrPctS7SFxgIAdeVzl4qtXRvZ4bo26tW5oY9sBAsQbww+ZjTLp0YxMsq9bVR4Yvfdb
Y9fM3d7MdWShZSGDtQ4lY2gxHTAFThOrR10yiNqmST2/pOVkHU9e47dN2617dU6OVjeDYwiXmoXT
C73XXmCJ48IUkmljLVh8IC/9Xaxbr5BOXwCPf01tVnmAooWP0+qt7oo35mqNE03RmN/o5PBp9vb1
Jhr35aJamw6jx8sIcXA16Cp3qzGjiRUTPc51xIFPmoJK7WVj+HXC7rUTRqnvYyWMT9BEpLeuJdva
9BN347rZmuBQfQwd3arISoz5LqEBvNsY+4gY88WtAxswDYWUYeB2xdHtvcq3wtY5o20u+8zk6EXR
N3KfF2+dpClWLSbMlTG7KTAiKDwOTc21670BrVC27rDsco3NnPPwdg5JfCqiyAhPttjLzenZjE0a
cceF0lf6tyvNA0feTX4Xt+MlY5HwmZon38slQQJ26TqldvWqRln2AAjFuKdQq3xLVbPF35mUn9LB
JDCZNN/KeUh/9CD+eyiW4M2/f2odqtem/6uWP/lLfz63yOzzONDQpLGJ/I4W44hsuTZmA4dXyw/m
zs/nFi1/PDp1nNngpn/szT+fW6DK6Nn68T/jAv2PXNvGO1L2N2XeVSVuGp6AaUiu6X8E1BxXLabJ
nNvrrODFIFfaaw2R99JN9zZv7Wti2meMF/HFtlp8X7Z1a+DwMf+o90Zo3mctNlyVx9M0xfSjDMfY
0TYDQewMB7My0KhQaie31IJFJ4I5mNMXku4nFebGyuiLC5abTRg5JxErm2pWbtzXHp25/IRt2nfD
hs+Ku8KmAaOj3Gd9hcUOc7IdG3v81U+UgPiKqd7mLL/09PhQlHKZ5D3Xsye0poV5RKNhKXq0qJzA
wZWu83b84iXdOSSP07XGixHxEOy6Qxnam87wjoPZXMI4vngVMR8IQFFcX9gcV0bVnBFXPzkmkQh6
SDyuuGyA11RLqc7U1pTZBo1YAqzgn71E3MVxf47G2R8IX5kUAtDEcmnpBSdaI6iWWRe0BNDt0h8W
z30NR4ymtvkpTQfczBhtLXEfRwuJizSgMntl1+3DLKDthFNyBVezyxwqflL70RLFbpnFfeF2X0p9
4hRZXvC/nAa72FlLfyjaedc3ghxLLTf4C+M2C7xHx7p578SAiojr7TqnJECTj+esd5SVNiMJhtmr
UZn3Xm37MSy5Vd47117pTpFeBEs07Fs6rCnVuE89SrXV8MksZq4rxtqGk7NqKKegJdgkZaU2IFSa
c+LmI561hqaeuQ+DKrFfnYFjTN1gXa0trr5TjRzM07YYpy+gczx8ei0vwbWYvZF3jnDbdIfHKN7T
2dumV3NZJvq06A0xtkOLocCDC0OEgNO1vGFXTY8jGQNjVnX1obShLQl589ZyzTjTgDBgZdZoQJ6g
ifJGpOXQWNJ7XdPxJalihSa+S0syCa7muWg53NlLQEq+Jm/vae0Au5P3+F5e5imXsgLBsT4x5ybA
MwuazbCzzSJv+lWNd5iM06PbdpQE25xFUiwAicvGvaTfR+kN8BT9o4JZgIBDwBH3uhA9MDETNCIb
efxzQMBpkCzmmdTOJwUFPT230pHAz8WbUPMaNrArJNK2UBVPo/Qx1IPoaIPA24ByS0tMbX6JqOta
qdIBUYumD4TpXYgv4vKf0m+ewul6MElDD9JDkenuW1R7L+WsP1qYLPjzk7+rVOHP0oFh1CjahIco
4C0pM0avoCcFnEWNdcNwk+uAlcMtxidzmr/3jnpIsXqYVZxsJoVqHUwgyUK5RpE3F955DWZtXpq6
9IxUmEfKOsYK62VirceDEfQmIK5RK59HvFiBaIpvSiXxC9OITYRc7SbNpn2o5NtURTL3loHwKhmG
vJuuiep8Ibr0ZTIHSm2ngu9bx0bpQqB24nwXuYxLekPDUU00qjH0bVjpzx0FNiseUyAtrH0SEV/p
7eR5joD/eoqJKtdg88Tkiuvli9K3gdBljXuIDFSGnwx8Av7sgWXQaaY2qVDBCqP7ZofmsbT1x5iD
VKCm87ymYUwqKOGzQbCSy2To8P1lbBpZZOJ5Ix/RJJv9quJj2Y4upRqG8b1QIecOYSQpwS154ISW
y6LZ01Vk82cbDtBNr1NBJg6RilSAsR9jFW7pgGtaPXSjS/eW4nkwHLBl9+p0ymL1YYy6o1XGH7XZ
ge2DD79sU4razdEI7Ek5Jb2r4cTLHtvYJEPGCS3InTrvH+I4KzftKKLYVyoYaAN8YpIGQ7w3sYwQ
O4RrpLoKIRFSvXNJu3wpimoz9TrE6Zm5kyiEo035LamGxP93g/qxQSG2/P0scn4FO8vUUTLYzvtv
//Pf/5ew5xf+MYnocoPiXc9rHpFZkkx/blBUERN4R25xPDjCv8k+zgekHfJcqDpQzNmw/pR9nA+a
iiFLtTTUeluChf6BFi/3o98GERkZw41gocLrjv6foo/ox74p7Hm8qtVdG5nrGSDLL/8onJ/mqCr/
q+yLu4q8q/if/+ZP+svv4NJVimzFoGNJbx4opP/wxBF3Rf52+v4qzPSQODi7qQ2+CXOnhXeku8CD
//3vh5X3//M7yj/RLzuhzg03QdzpKVfpCQnMEZxvKlp1OCtRJW5jW7mHobPqi51BHhH2xk7Jnzfh
FFqgVToH31xpv0y6p+9tg5vcTEA30EQFz8ONT1ZFBN+FUVi3KiyZ7Ls3Kc+0wd1Vmm5i8cL2lUat
RNOQQTawz6/bXMHIFyURpXb2Vsx5srEsxwBRmlTbcJ5Kn6AXxWUt2Vn2K1qF9ISFAhJgn9y7THdg
IqHYJcNJaUK+SildYCFQGtJEgTnDlrfHW0gH5ipUjF1VaXcD6BHUxn2p4jVAID/S+7zqDeWxJRy9
GsqXYTHuJifeDc4i1lontpwEtmbtHjhNTKvYrkbKrFqxDeP5XPXO8uB06HJIcQhRD9xD7J3dEOah
wmzX0AvZ3Zba5D/0RUvSIo/MU8fB/AJbACFNdAtNW0bDJdE92WzC1NqdsAbsp4yt2Atpqssu82J/
wp5GLByRh+Yq8kV68tW01G/Q36z1aJnnqTYP8IGCIatPHa3LIJH2JJTuVChPZdigf80nXIin3m2r
oFsK1Y+s8SgG9VODJm+a2D+Kcnm0crK1YTFnl6Qv78qs29JDdsmW7KBWpOSm2sZI1QEgaCbCBxB+
yeIQCRKp88jujzlAUaONXtRQ8PuxI/mrQ5OAYH8C+gf7nGxBXvB6H69m7N6LvtVWGvoEpXftRqMf
LMyTu75UHsYB8A133VUlw8GJx8W2++bE7L2and70aFx7fdGD3NHoHrQDyrduQPRQxqDJ26O5Hdth
o7Ksdja0Lk0Nqqp6ABN5V4RNQxAIB0GXZ8P9NMf3+M/3gLZANrrPpDz9ybFa+s4IDKVJ+73EJYPd
nFgzbosFXJWpmj4cpDeVmuySDFljavRQOR5tkjSvGgasRWUkLRjdxclwNq1011gF0HtrnTul30/h
UYhq11ociJcObLFyoaco0Llc86C4zfhGMMYw8RlmuMF2+WS2HDH4hIBKwFJTWvm8y0Yr37c5pkQG
AnZ55ZCJ5SMiJAbXvGOKqh7SAUBDSu1njxvT71391evT19RxzxWt4CsKwTKfS/8MomDEwBgO7u79
MfPvAm6i+//tSw/QrZ+/tq//72tP/tI/XnvaB3JcQGoxLLJ//8drD/MbZmvSHaany5PGzwVcbtkc
pnnjme9oGTb6nwu4/QGp0dBpzeL7RJNy4z957b2ja3978bnS0Kbi+bbIaRN8/f0l4WiRluetVV11
lzwlaVtZsyEHRZlu06dI249htsnxQ5VFya2CRehzgVeqwNPgYrUg+nVxkL9TS7kuCtwF9jGK7pzq
lEvjFR+tpxknluvVpEOF9B8r3XrArfWjF7BbGOOliatKndsUwcBf0XNfq2u65qhKc61RXWuTeln4
kGHvMIdtHMZcOy0eSqXa0WCqeQANWri30RxoFC8vYYXdSrUq4rpjESjUqk9s/dRCQn+AlGQF8dRN
wTCoj4PWBRzd16PeCfYnM5MOc8qJW+srbcCxX0sUaePBygO38D77A4Ap068eHvL1HFblqi/iDHkg
3vPMCfd5zZMBRWNdlRxW1YpDs2Up44neYlxwQ1H6Zps+Is6BS88JWfIKu+LCJksHomJc8LLY/cc2
aUgDZ82j7UTXusFThp/qZE7AxAiHyZm97INSyWuirey4nvR0Z01/rmtypdlc5ZtlUPAjWwer1J+K
dLj3AENwoIKetYzazjEasuhZ8m1gIY3K5bLoxcBCaZKtTdvnvMO/1lekjpP61MP0XdWQHbly9b6y
oItUGchNUYH6rbvUCHLd3qedfcvCmUztSBs8hNR1YxbuZlSqr40OcZC9lpIIgDONsq3U4lSAKmYs
ORoG19rCFMdm4Hsm7MVdk9jdys34p1GHuV+bHo7eMvJF2m+bxjg7Voxy4lWK3xDOQ0EtAzKg2zZV
7rKpEucF1ZuvXkJC2LXvdVs/e3Uu61qHCS+c6fg6JazIKQuscbMTnPFVeqFI84tIcK+hTmtIy3Nk
hi9zM8ybXHG3kTDswOrUJ7NBFjcah2qvNJibzg7cJLpFo3bSJilMTGzN3rfWHnFjDoJ/Q2HvowZJ
AtHq1PXimlSiUW5V5eTL2zzl2Q7AK+pw/QQZp4E0NByFXLXLXhocOu9zlWGtstpvbj2jaeNAWKIN
8xiuuPHgdcqmVfVjlceXpKoOUyouZZXfDSXNrI0gNp+H/bi3Q+v7Yis9k9homNukDx0OAOWwPOj2
co4aJhstT8YNDvBpNRo2v6+5ZZnejnIeop0E/Ixx11qfhZyXit57LHlT5wxSrd4yfHUWqx6A1nq5
6xcdPYLNcLb6Gw87tke6gHULVl0CJThkYDNEd+IiXGF7647gFu6BOciox8MCUxHiCFNfLOc/ve34
oBROufUijQFIzokGAyOI+GjXyBlSl9NkJedKpec7hzJyDqNy6iwYP13GUMcsv1eMpYWcT0H0Py1c
OSwNasEkZ1hgx6DT2tBZIUx9cTlKnjAWnCl15DGhqndFhQ2WwhXtCuPkzVicaa0u41svYIMW9nQP
2KneG+XwolXFpjHV5zlxzqArN54o4qBgYvZdU5iQVaJPJXdAtBTe4e7MEk37Y93eeUl+VLGXLnKM
sZrwklJNEiR2tqsoaD9wVXl0Eav4nYlBe+ZHTbX0bYzNIVgarcZpmk7rRtHPEx+DO6fy7hlId1Nu
JlhSB6A9IIX1OtVWSWWQXnO6gL9rAmWPcnWPzve4AY/YzXAK6a1bc2v9Hnlfk9q5F51xn/FvwnuA
SuIIzG6Xu3ekZTYqXbg8wjJzhWQABXUByzwO6TZuGvTDNGez6JRvCf8714XVZ1nUJljRJcYtyAk0
GY6mopVrvqDzztKn+6nEjVjUcRBVCUkJt9x5NH7ysW2j/USTeahw8aTYh4Mb52LnBW8sbhXC+NGE
HhCZ00aJmwc9AVlKhQtKqd2vJ8SylReJr5ke05gkjC23CY7LTXOOBMIFIt9Db00nkokpwYZm25Pd
tbL6MlZ1vq+1kV756V6dq7USGvMGh8Cxarydoinjx3iZ+83Y62+Zh2AlHHw2MD5wuOAC/neeehcR
zL8/w2LVTeaq/4th6pcrLCcLE+gtDh48IsgF7NB/aAgGMGHmGARaGXcl1fpzmDIRHmgCsFSZfbOp
BGQ6+79hyuQ6IgcvF6o/6FcSs/9kmCIu99vGLXd7yGUOODqWcfpabK7Ev27c0PxFn7V2dTe1KmHz
wRyBZJmU0ZvjLmavxSpGPoxgkHrlL6Ee1bwAsGJTerwnKFc9J3DJz7ar8i1mGM1DSoh+Z029uIxZ
WH+ru7DYOjmlW3Hu4K/lwwRklx3LYPVRpjvRFt21SVPzs6La3UYLCeb5pMpxVpVheclQVmHkxfe8
faxrpGnKQY/icbtwMX7s3Nn6nA8OsXDd6s+diB1OHiVGBKdXso1mkU8zepUFzhD6W2X1+bOl5uUu
srgZ4LISrwM5xTXeamqpWm/cOinh3D4e6ttIH22OW5rXTFQHA+5qPNhKaQ5fKVmPzaNG7+g8YRrM
+q22dL3yZkZeGl9w/vYNOBdRtlcnBp3iRNoUP8Sph5gx9oLwEIF8Z7y4YONswLgmHFNAZ6PrlFjY
6lEJLIgaeCOVkmQFJ+b5SzroDekFsgweOsdne5S+RcWxqhWchnLDc8Q6zD2SejdWy6scmRlNaakF
/YbzLIngy4X1EH3hOynx1XJZXkMRL292Mj23SrMpo+SgODymCw2+x2hhm1bqMdKIBfTzNptduMFa
N5+yakLD7rxsWk1FRUgjGaNkI4rOYN4cCiAzWfPJdJJ8n3vaowGsYFcrDW00KjUAFoo+mEFhP7hx
Xew7he49gif2heu3GhS6JM7j6as+hkItILHk3hfFGZWDkXe0CkzFlQu7ErTdgKirKGICuN40XTCF
CYcapaJyrQ7Le3ycXDQgdrxEMACCxXPSxwnEycmB1H4WwFI+ayGBtXEhDSCypfq89JNy5JsX8dkh
sY34Ez7TXDk+lmlLk3s1IebQyHwXD9BZS7xeFB2Y5kAHhaDdZsCg0wFPskSAajTiq+IWQxoZFIHN
0JJjmZ9G4zbbLcXQamVrb3VVL5tGrtAenAMw/KRM/n0W/3gW//1xuSKh+ldr7a93Zf0DXjukTFJV
FEzJtfGXJ7FlGKAH8M7xFORE/PNJbLgfXDJYPG0dTe6b5i9rLc5qBxc09hWOy6AM/lFlFSfp357E
Um0FsQqRzMWsY7iOLp/Uv2ifzPl5nampetXf3aCWNIYa0iLapv16MPngqUWY7ZSQWTPVvKewo8w7
hELF6OJ86Yr8wSlGj9VFD/quU9m6ki+9ou7F0JyIO0V+C4YRzPMAq3foNpmhvYzOFG2FPopj0TT7
ZuBzsCRXo1P2lMufuT6stFag0dAA6A8zYUVHuLsyYYrgSeWAB+1Gu/IrZbnjWhf6DOb3utFx0XUU
/Dwlh2ZFw/eqfFRiNpxwSAXNC8kmCu1jnj7nyfwyRtx0Uiu9Fy3t820jfDqhjoXa5OuUGOpcVfpZ
rc1rzKKxUjWMOYi/Q9kfXRF+q73xmOj2iw7y6mZOHJSiMjyPJqSSSFc+j621RtXTXtsZmteYuQGl
Kk+Jrn6LoJytMD43PtPk4+QoEJDwslSkbLPMPc95FK81/g6hmp2TpX4VaSU2Q0hPCOG6wo/1xtqW
lKaEE/ez1i0eef5cEeRfCpsSwMzRT5PbbDsz42BaFESoMQi5IMub0LpmOpu9NS67ftRUgisedSje
ph+tM5nsrdq5XF/d9FYWiHlDOZ1csZxG4apr2lGekxiGNy+ElB0/e2oEr9Qs656tZTySK29XnSi+
V2571jUjggEdXbyYxpeys9ej6Dtf6/SdCJGDRRN91POWKhPmTqgw3mG06bHA+vitjJyHKJy38Fan
NWvFYa70dwn6DZ7FceGVY3Na5b/tyooR1RxcFhs9EUS2ujt4avnJm4qP9qnSaBDxHE6ATDYBeNU4
cHrxHdr7LnXarY2F3O/6NqLYPTtrfbOuqx44UQYge1DEgza0W0gVn81ZY6nClVi7FrA5go5dVWFT
LYtbn8aEnAQtw92S+zjt17M80pvgAvxsac+1lwsIjCHOrtnY6lF1zKg5yT2U2ox0gZmNhzTuUj9u
50uLBwlR9tgthJwUN3Hmrz0E/09x2Ukbp1fQrAkq9F6vwahGK7ctlJtae809yEmMYfTY4IdQN5kS
Q/rVw+9ZNL2FlqeCoYXNpzbOwSmnJ2G3X7qMEaGuqhsm9K0SZzeNUd6l2sY3gIbVE35SwxkIv6vt
xrW6i2bkJn+5et04+A2MKd1V3WSuaVMaSRY71DMNAvMXrO0OE4Zhz6+TrQfNNL3A516r3vzIFzom
pKDs50Q5lU28jTNlXyJUUG/uR2keeEq4S4t5k7lQZCfOE7O5HIy6+6Q1LdU0cxToxbQZCl5jRsLr
NKGJlaJHWTuwHVH+i7rgC/LUUXY2T/0GVd4fyE0lCjzfrHSCuRBBnHjPRZoixLTxacCtzF6YeJup
sLn3ZixTxD/gyX0VKOQq6bJ5crB/kHbggn4mV78HJ1JT6AIvFgwnX1uLm0m/60X7tW+Hazq5gUjN
j2oSgcyaqZLMHBvqAajxjE+hCl2wAbW7IWz9YPXhW0MFET41ZhEMtZgzhp0WgXNSGs4etN6EKuJG
zCk2TSx35dJFF5v9eXTK46RwZy4yWNSR+zk34B7b7o7M5aqd1a3n9DSHDp9Uvd6HbHwwUpx1luY8
/6ZSWdV2dW/0XucnS3s11QgecrqTR+06GS6hvXwEQ7Zq9O4W6v2hbQbKXNHiJ28OlkXf2Ha7NhRt
D6psCAT0W57CxsazuiNT3cZlOvW9GZhgrX7JQ6HDCutfDLwkPuOxsdec6E6ThoYoummLe/JcKh6W
BYCdvYwH1c5IqJOfy+oIoouSSNOL1UMOnu6MXNlk+Xyne+53eLSA6mosHAw+rauAWsOFPeKjnLv6
rnPcxynpY7+wcKlMheVRmajnzxlA7yCqh++p6I/xpD7lfYkEV51ij2tH3yb3aDHwDNvvVjRzHdLq
SzxNmyZdHjNNl+U72RNP4LUorVurhBUVHt5nxW4/Tc10HIsY5mVfOD5ecL/TgEJhJogn9gXOIGYn
xUFz3oeNRyaGgmUyeABss6chp8Ew0OBFbpSlG313cte5muyhRSIgjsUSUIPyzcSaFcxDNQX/y96Z
LEduZNv2X94cZXA0DuCZvUkgejIi2CabCYxkMtH3Pb7+LqeuqjKlqnqmuWZVkpiMjED4OX7O3mu3
xEd5y3IRTW5uaBfCdWiILQg7opZM8jEw76ENT09d7HBcshpcR2X8VCbGTUncBNsbmA8lYQ5R+2Ej
0mcrx9BkvrQSNaXB+dU4uAwLu3icZu1bNZUPWcwgYizMdZUxk3NZ9A4pClBrcVkXYdrJ+qS/bYAr
bmz4oXtLuVUlI1voBwJ0yW+qxY/p/4af5b/ZBRvK2PXL1N2RgkW3IQnm5raoeqSf2xPk88KakXxf
xH2+era3w03tM1vyvbeHu/ZUHuNN6Xf7+NrejetoX26jo40u6BTt/m5wvxpcmzf0Py9vXlhK/HnQ
oH7mp60NLSQkHOHh2gMt91N7i3EQaAGKRUyFX9mqP7W3jBksOt6v8ME/tLcmthL8hi7Dhq/JxV/Y
2rCj/tPz4zLOoGHlmmSwv/nDoIG9bFJkRjJdmAlwFMLzcILmoTOQficK9bHA7H4g9ji7GF2e37cK
CaLpgiN+CYQvmGGFGAY78mfMM5JynQhVHvXZSZh2cnPtFHIkqod3T0FISoUjSRWYxAvDyqcHc3yv
D8oHC35JoyNM6yCaDNgWLnlI/MyocCdUAGILAZBtQrJU1q0QjzlihH3GMQ8SHXo6nnTkySBOQKlM
CqoiFV4lU6AV1COvzDDGvYdRHZNt/FgrLEukAC2dQrVoSiMteAsusQD4Nemdt+e8V8cU6UddTrrf
WMG1wopLcGmBqhrm6nPJ6pSBDGk+6Diu+5oruUdnS6gUIjPwX2DmfTuqjnpvARII9Y0RDse00a5Q
UpICJE5lCSZc70osi5L+qkijV3uw6BEQSJdj+RRCjFCQvw1aMmQIYXzfWZRGDn25MgvG3TKElLMM
9V6T+acZAkqbCnmULPlX3VJAbbQT0kg0mxyFYARPby8vfNAJfsnqvtSCs8UMw13ivamSGazK/B7M
7Q141+E6dXHsNx1sn3p0z4AKSaINlrNd8pF21bTGCn+T5ua7YTZPy5h+aEFF1FME3zybLmTJw0ur
ULoLrN0rbTQOCGVsguXIdxhD7wJPrvONXJ32NKNTTpfqmIREiOilCpdbksHg6eI516ZFQ1iBRJfn
Y/IlWRPuxZz1xHxXh+F8cDryBtDPXbGXW3K/EYRIZnZDw+vYnxrtJ8ovC3jFTCXFDBUQoHTSh+w4
sEhcOcj+sLWLa8ghSCgVUzTQBUNk2413s51u3Bq1LlN6466B+OEPbsMmIUxZQ2EZxAo1I1ZkrwQy
bqvrVCaZLrzJcRsctLnF+mDTw418wX2dJxVCxF1WFKwKY+swuajrqjTXH4ooQAxrodspVRAlqUQr
1r752ghGf7H0gj198DnPxj4GXHVIbfuh6QLsTkXnowDyHcc7Wy17/RGKFJrTnnjATB40t7EuTjeT
es54xwfVIymH1v2QlqUfdPa1jrfU99gO+LpmHxsGakcxl1e1lYlDXcZ8Sh0RyOZzK4KLNoZb5jLT
1hrjXVc3McU0b1Dc4O0MZ0Ir6+w9yuytW1Z81fmaVMqbauT5Kznjx0m5VlPNcdeUSnGJlKc1UO7W
hFSjI6mBkILc4DzUGnQnT3IfIKCH5FCec1ac3JSn21m0bILYMhxrskXp4XHW6nVnEb9ZWrs5DPDd
KgduVRdXofLkzsqdC315OdaJ0HaW8u6WdXUrNa/ZLth6UZs8V1pu3hgJuCZOP9jLseX5Edsyjayi
UPmDJUbh2knCHy3WYS/ia3zrYCdevozFTJwwGf9dP38bEDHP+c/1856Rx2fz5wpq8VM/VVCLUTvj
lS+Pp0Fx/eeASJBcjn6ZdHJG+Yaa3fyue1BhgWoeT3b5/2r6fh/VMztyGKrrOjYBwXDJ+UsDIuZA
f6qgqnaD07Co5bRif+jABgMUbK1584WFQrvVtazYtGyGUtAvSP+vEFlPNrNYW2P4EhTVaRz7ex3Q
l+2mKHoalK5xpNvXUwHOGBMnUoDWOrJk0P1sNtutITrvjH6s3AOhq24NCyWBtDrtCiiHTSBD+ewt
6Ik0W/8o2CAijlpu87hM2dOX2Vqr1LcpdC4E8w5+UQ4KZeykflyOCKNcHN59DOO2yI3b1NSyw8A5
QqapvdGbyN5rzkS+uRm0B8EI38WQUNh+XKV3lnA/x7S+R/oKnQghc6NL7ZDAKD6GXsatv/Oqi94z
AzKMO49b7ypgnICac4QxjnJbbe2C0Tvp7ODQLVO8wuFWT5dveV89ekl9RXjQK4KqXVLlvNhlNHx8
D9eWrZYezGSWyv1OYUpRc6e17xrD1eyo4y0ba1/rOxAg8I48BOkpWwbm3CUubvB+Wn1CefKcxAqg
ZlYBKM682Yz2/L7ExlnEDf8HwX0chZlPpandm9Z0tXlHhghXtEilIDI392v0cK5oNk1V7gwOR50t
hQFYuFc32Wb5XFx2F7YzXBWTTXxY41BKWlQNRd9W7KNBgDbuWOEZ5bI/GtZTBcym1wgrqq1qM0wG
KvH5M3A4EI2KYhmEylb2o3fCcu2kdrHurKXcCr3LWBUbN0EzE9MoCcNDtwH/fnlza4KYBFEB0BRK
6TdUiRXU9MMAszhJyttez7ESS1oYN2N1XG9tklP8yKTNEhJ7cfhE7p5H89MSTthl60EDauxCMF65
LfrOOA3pEudF3ztZwf0ib3HRh8xz4tr7hiWV7gAdQt3Kq2B0GyQOLWA1O36DAhGSjli+ORM863bS
4nWrBcs+6JgckSqVbqrQQgxgUMlIVqxgyofWipSOeydweKZYQe8pLXD4aAh61RoEqkmIVbsAYOOK
m+MtOZcvhWooCtVagOW7zqWxhzqLaYfuYyraFjiCQZRARDSvalGkalZs1bYk9C8l6FgQ0yjQ6Wy4
yT0ldDoVHU9iEU4gQnotW+CBYZyBqv0MyUjfJKphYrk0XHv0UCa9VGLhlW6raG/SZY2Jd56M4j5W
7VdOH5ahNKe3oDVzVZNWhazzukC+tGWNTpFOjnnMZ6J6u9kIdkvPCgM5n8RPp4YjtIKl6gnNMM42
WpU+FbSLIGFnYjGtt0ZPXsknBhmjestKdZms7k89bSfZ41eCNtT1cn2jT/ZG0qAGqlNFpOMDayUz
lCYWryQrt/K6bIi5Gx3Kb0TD2y3QNVLVAw+qG26/+mLBg4dWxboYaelq61qREf8ui79dK6ki/7ks
PnxGb/9ub2LzUz+VRdAx3BKpcBSyXxLjVIwKnBr8wEwEFFvm97LImtqyUafjN3Md8oLMf22wTe8f
7BqBJbDhVkCav0ZztgUbmF8HE8qMJ9TvQg6PVP8PF0tCb00942VcBi9K23Vigq6zdSxJhXbssxCR
NPhPW3HXg6E/gDsVKyYyciMG79jZqfQr0xTbMJkfXK1EYpHwOBYizrgw5Zukrz5CY+KRZc07od2Q
Za+tTa3/1roAiGeMaTvZSJCP1oysbHLWsjZMv3KG5kQhJ4U8NKLt5Ij3joQ2najHfTUWfK8TOHpE
LKUEqvV3s5hugbfL2xqXMcK10V2zqYakxZ57lXmIPsLeYyzrcVjmvCp3SmHn9Rqx1k6wSVQyl9vH
3wWmNmqeCiPtimTg5sMAFqkTFDMT3mwaFOISGAkNe1/wzyCB7R1MXquKX7+oXKgGYAK/hXvLolKj
GlPh5c3xROTjJSFYaiJgqmuoaWBM3rqM7CmpUqjKbrCBwSd3pd36qSyvBk1nICqJK6YAzrslEtBc
CLZye4b+zVfWlas9VoRfeYRgkXPjHux6uWnGdF4zQHhCtPZREpxVM5HCzhgdhWvfAJN4CAeuUyNt
wIAzsCF8SyeEy8ZivMZyLbleWw5qsPI5GbMj7rqXKSHDaybMa1KpXn3nbWNivuzC+6xU7pewWH8k
KguskLwtQ8aI2VRhYXGMxzBVAWIGSWIuiWLo7nI8RAxowXBPEH4JHstVBNnStk9yaF9cSVwKgbWb
NIyBVoSASwn3+VaaWCdzFWo2uTJct+SclXz02VeGRjxgO4dmgTAcsbwfWv1NpUI3dBW/QcP2YVXd
M/ya78TjWtvAFN8rFdkRqfCOIjCYgBPnERbOsJUq4mOpW6LleFx3vU6qp/6VBRKrWJDKMg+aCgoJ
4Tf5plvyRSBFZMbFZJEqYip9toevciOSNl33knTCAv4+kXC5z3e/8isVURKTpSajAMU7yT9ERPAd
CSbIgoMKNwkEkc0q7mSch104sMuI3OlikohikIzC/PsiUxe+arztjQM6wmA8efyZrdXdV9ghfDk7
1HP55Hj5hfgbSoKZzOuARJYUwJ6uElqK7tlRkS3lRN0sk8rbtI7X+CVIjlWXFNsyrU6GQXiYlj+2
ZMCkdXjdsZzYC9JhYoMRNmkxZA7jxVcBMs00XfLMWI6unr1EhM3YEsmG1EfnwGTg2vDyc0wwTaYS
atABGwhJU9ylKr8mhFxCWq+IDz3hNgYhN0jDXjKVeuOyaVtJgnAsx37qm/ZiqIScKC299aRSc2zs
YetGJelQ7lDV9t0utLiEenJh/wBOa5TBE67Tgkk+ljo4hhw9/BxrJkZgNEkVIT7B0nzWBak+TI6V
3tfYQ1Za/Ehl/3i8rf5AHJBBLFA3sq0yVVIQy1drnQ6N3KfECNmw/ixiheIowjmhkoYyIod0oocW
aT4ECgzdqFSiuss0fCjiDpoE6gnCTkKzuDVUlhFbhB/S63edSjmqCzfYGO1w26DkDAhCGqKWKYhK
RsKbEquspMDJbzPCkyYn1o4RcUqxylXSu+koCVoaQhIgkXLbiiec+bIY002mkpkWPTotKqsJDOi0
1prsR7gED1BqED4KxQtQGU9TlHxvKmZpJeIkXeVAAdiilUdfRWqetuw74qIcFWix1MvtjDx5QyAx
4mMvvJ/wRfQqbIrQKc/LB1BczRFfF220iEK/VhlVJutRP5PYRPCfPOcEWXWh/ka/GQOjIuPKxQ5F
M/RoEH61gKtUCpyNNVjbhngsRnFXMXFZCYG3+4WHCAWKjFc2oVqzIz4WQrbskDN7UpZg4rdq0Xwy
1j91xHItxPc4Md/Odu59i+Cu0i3WQcpAY0IEHKS0xkR86SFhpAMPgc55pDLA0OG4azbwmT/NzgNm
pNNi2Z9px0EZm7IkL9jZ8+WeGOHFJ2GOzWpqvUvjkf9hWCP7GcZbboYfylHRGYOhMTBqbnGGsJMi
o3Knz+EbtbPZlHHUE56JAlFn9HtxXQTIiJOMXdM2z3Eq7m3CIX3gZ4/C6V6IxAtWDecC8DYeDfyR
ghNEEB7mvpuBO+0aZie8vvcmqYk1cMvvbbDQiiZiWJNHupwhWtrroKpvqHks+vl3YxVddR77t25A
LlFpJW7Z/nugmGC6U383ceQniQeuVgtYWgKmEBUbR4uZ0tYrvWEdAidbBQkOaL5ltR+49jlydL5l
VUyOWFxuyz7czza8M4dzEhQGEWrF/Vwu0S7WktfUqT5s+mYzyvNdEKQ7+gg+g2C4Fza473pg87to
zqHqlFW3QK+f0RphAYBjJDXRXjAIrMM5/5HqaenjBL5MDk6eVguvdfKf2ShVP1ytIH3H8l5GZZ3X
6hw5aSGhn9g26zztWa/74LYBrMlp3nrByUJHEMWWTTg9aviD3qVefS6zrGQ33cR6CCAFFchCeoxX
R9d/99G/9dG0lf+lj+6x1Xz+ebxk81O/99FAdzx4POiMDE7Xr4749/GSIEQZcoVLWp8CTv+kBDXl
P9AXAeNhe/N7UiF6iS76f//HtP+hIJDombCnmoLR1F9Rgv55vMQv9gTjHkw/TFWwm/y64AuDWq+B
4vXnJcOOwh73FVFbpPQlzop59npusicC3oCtlsEpZrCwtsVIIGkx3ORteXA81jot8kXW6jX37fiK
MKDT7ABkRB5yz/D6+0AoFh7oASyAhrUrGI0TwamQyHQZ+nlbXYpJf+JsfDVa69mrSeh1I4++R63I
PW3ZZpamsSuIsMDjRydtFGt3lXzDWPNazeXjEMVQnztGH4GU3xoCQIqpeOo87Sko5qtIOihY49OQ
RtddGb+2pZuDrHJuGtP+yFABbHL+YrjU4MsYRnnsRfmSz/oMjcskULEjcajOxj193+NsVM2GTJet
ZeGTMxKGuYytM6DS7vc6wjPvZvK67bKHsVhS34UvbKfuXRl737nE3sS2ioUmyhH9Z9JtghE5aDVA
giw+GFC8BLVxYbv/geoM5VXahJu+GDmtnfwmrEgBIOzaSsLXzIBqUGVutR4lQpuxKj9G4ZHjxCot
nzFBVoa5rGdgtlu+7I2PlPiaRcaxtoLrIkRfS0XazrhF9WZklObtQ8O+A6P7I7aSTydvHsw4JJNv
ec7DBSO+0qzyIXl6Y9N/o8Ix9KTGbFVLArbbU+RNP7LEK9cBLqJSD3S/bxB7YcN/skL7zupAj7tx
+mCFxo/ekANSFPXjdt9vwaE95yg52pI9Pp7qbd/1MdP7LuGylb1gyk23RtWfjcjWmQgxn6lFZ690
eJNySbe6U7EUcfVd3UUIA9IKQUHFp4YDYPQNW0JFoIOqF3crwZ7vgra6ioO8Pi55Gq6bBFoHWqw7
J2NtXdjbvrZqNuyBy5/ELYjmhM370iYs23nibDSpvrvwEM8tn2FuVOFmbJb7Mmz4rYWLsG3YBnp/
v7jmMR7xbjgGt6q2DhALZHgUhj79QKXz7MKvZ5JWveuiJJe3DPxmZHQ56vEeFRdwZC3a64WWrDUH
16eulzuJukToBP60uubtSQaZWV24n3lSXxORNsCpSKpN43UHGc7z2uiHYhPm02NZ2zhvMb7wNOYr
aXbvLRdJX28E4pgFE0yOWOjKKlLaMqA64SEzvMhcp+n4ZLhpM2warY3ib7wNQcde1sHcKmPb3Mog
14sHp89AzVtdtZhgubM28uH5OTcUyVjezHUc3Zj1FL7EKMvajEdopSBN56pFlYVtjKYJSSMigcih
C4tqXSOqxJ5u9Uwjlb2OSaJwAHSyucnQYrhQxg+9owdMguLpi2tlZjnzSxPzX4ZJSU41JC7TeE5H
Lj+nrKh6zpksEutJOh96CPSbu+nckJo+BqUHJiW17HpDzK8TPuidk7UvRjCEpNKZixGBKs1l8Jra
cWSddAO5F/fwqa/+tk78hlFQ8oP/Vi7LrM+Lf1cw+bl/FkxPZSoIQE8sPX5L4v29YMKIIrsBSLJj
sGD5pWC6RI8h5dWF8TV2Uluc3wsm2WPsaiiaLGq+TBR/pWBKJbb4afD0JdhltYOj1cCLobY/vxZM
Mdg8FmWeXxY7OoJ0RgtJFvzEd2kpkhIMN3mCSZCdrCpLt7YJ+7sXu7jqLlGP/g5PHvASwmw1vzfF
cWyrt7S3XoIWq2jRnaZFXIeetV8i2VBYytmPnPAFAsEtqXvpRub5G5Jk6VvRzNUq48lc+B6wq8FI
laUUCTfviqfSjK56ZrLXBaI2N1KKTKW1X9C2Nl76LgnHMwPB7Zy8AfbCq8pLnkcxqEhSmnkb9o3R
Y61P4QVdiJL9LsuSpGLGD7ByHOnHQyoOxBded51zMIP8wZynT8SDp9bylAjtgVlASTZAuEN8cCVt
zolykBe7dI5Zl9EpRPajqWlrwJ+vYyS37cBB2kA6Xo2ee2N5DY58DLljek5G5teaCPzexsYF7A/0
UqM9sSNm/MQEX7eTazYSExFo8xUjF2q/ncFOTxexjaSXb7XEe52oofbQX1vk956r+ha76zZH1Mst
7OLYiHDNiVEcirsEToOJ3ssUuHUz7XmwgieuklvZ93QizOKZt+fv8dw/VpoOPnmBKySm5DwPvHVE
WdzqU4BiLJX5t9o6yLl1u1Xnwj5msDWcQx2GF2peSMhy9Od+uI+IM+d/k/SELHHd1cW3npcRgJL2
01ibVihJdnas8964wi9J3awHPock0TjhdDdbl7NLLORs3sUu4ahj8N2qqYqxlA9WKe80Rrc+qUfX
Xk6D09tORMgxAxZu5XcaKmYbDyVsDFTTU508uEHx4ZIdWgQ5jrH0e1I030KPDkwaNktr/lL7KhAj
GB2qJFfy0OemvTUtrHmxgwa8jFPM/z32CwXVSlHVDvvUIHi96CdiOUkhdm27WlsSuTbF+7ks842H
BlZlF0S0WG3sM8oAJzAJSANtMyHHRVG3TAgNYJtWJ9xzj/WS3gVV7/qWnjAKipGZY4V0oVUwNc2a
8koHzsBMJkWM2j7H0rmGcXJXDGXsOzGsRE0syy4vEhR3QUMs7lzwZJrGa1XU9+7AB2+P4Xq2l7Pe
B9+DQRNrc7ABfLl3/RjsR5OJrAiCg0PHx9qSezRp4tuJ1affMINcGWGK9GKkC0tqaFraMr/hE299
kAohTnN+utOaYzdoaz1lED07eMEzLMZcDnYAn/LNnN5pZFAh8iUZdHnT0vmtG+RDOA0PaYb7cHJv
4MUxSAgXC30n3Ccz1r5h1imwPzqbaOm20TzII/JMOkHVLyFwD0Hxzm98rvORRd2mrFCYwAs214Zm
fRpTe8p07YQuqdiA3Co2bNHe8B3v56qzfWbhMx8X2yaMLs5qbrBbG/V4nztjyQauE7sAuLhCWvN6
hqxYjz1PIP/8h5HRKs12FqxSS82pM+2u7vXPNueRsGQeH0vHeaya+txmWFwJ3vmsKgjdpMO0ySRJ
zM6sDQ0w+lfB5FNfmutAgABH1IFtdXGv6oK/NANDDOFd8WIRmLUt0Vqtw9glFGcADwkHZx+QS7Mv
xfxWS8gtHkejlRIqDXPKj6jwSxddWgK4afGAk8+xeU/G24hrs7ypW30H8v6hWjgrS3EvwppJ4MIm
Ti+dN9RlJA5GR4O/3HqMdbmy9f6RIA/hE2RYb7IExU9j81CnbfAyyOWl6eq7qLXCfZhpLFJFr+B2
6crq+vvKJbCnSfl8TY3Fr9mM/ugEBGHnzTuGJI4KIGmRd+Gg24V1hKvYah/ggn1Lje6pqUGiZWn/
ZHksTIUxirWuG9EV3StqcjeyfUIuFUcHUxZgt0PTJveFNHdLBSYwSMXLmMJ99tjT2pmX+K6HwNus
JI2d8W2Qt2N7XILnMb6yIvO2oHnHS/gtYdAamzkfTdHtyFc5GxVc8yoT7V5P5KfgoN+IybsZYslX
20JmrtlzRue7xJvMYUweW9a69MbrtsruBqaYzpRx/CJ6WmZxj5vqKioZp8Rh/4TQKFnpdXesuzN5
kKvOBpATImoGoxOvs9KLd0bdIIZr4icxLzsIEcl1oXH8E9h28mZH2+LPT7dmNyWrRZgma1OXTyvI
N2MVHuHkan4rXfICRBl6NSlzLIGZP366cR6dxqJDu4ah3HaekpJEd1LWlD25XuaziPTYj1o+Z1bV
ch+67KdJ9y45v44B0r+LMBuCxBemkEHbWQfCQs4o8l33rbdmliMT/IqocusNxSPB5Bduc1ucjMo+
cBodJRfu1LVwp3ca6faNZX6LnYoTYqjDldVq+6i2zpbVhvsi0j/RrX3iT3+n5EBMiKb9rGvr3HXW
Bph+s+M1gsYv1+mUfUxxWrCdihAUJIjFA+bERSifoykfdrPoks3IzKuGnYQLeUHJrimjiLwKebOr
dxLQhRXckTy815DewXXhcl2RBB33ufCJlH7k7aeKi+wT5/dxMEJnWwE0bFq5S1xW4zaGuy3Xfa5S
ja6i/tDai3p8LrqJBOrs3rbmtczsRzKjuEkkMPiXFP2Z3DYxzAC+JwAdpq3oKsKBrA8O15sOdL5P
5h87J1nfkSW15YATu9Fi6e0JYAMRikVnwbYiO6wLSX5hpAmHIogA7XnpvGmmjudh5G4cySVifUW8
zwRur5LEBMal8baQhAd7AaMo7GI0LfJMk/vcNNX15GSOX+baRqD0skf3hdKyHUY0ffVwxTd37xiw
iZhcqJ2XilLPTqOg1KbiOg66qyArn5gWPoMtoUYUzlNrTKeS2w8wTpyjiQZm1LPDb4wjClKCssMS
HxurOU1huK1Gg4VN7N5GdkWN1uRjXw2nZSJGsYjfM8s+1inpsK05Xw+T2+/nZmblNMlTLtzClzkH
oYb1xY7BBdnWPi2N61FfrvrGNBEXYkGT8J2SMc9vTEwRZIG5GmJLks+HyMKprm6To2XgaMqL2a9a
B8Hc0uxbFmFIdZJ3Z6SHcaf+xqlwt3vNUO5Cr22v8xrOVm2O+MAQrSDqINAi0HZePib0nEHHl8vO
2LA+yE474jbOdzIqDx7dFmz4ykwAypNLGa/+nl7+Nr1kM/+fr2PfgOD1/44KZPNj/7yNudyeDAP1
ti7A8/4sA/gaX3pA7WwCEn7j5P2ujrP+QfgYekxoQV8uyZ9kAOY/KOYGVzhTMfHU9ekv6Mt/vYth
Y/ccpqrqmugIbFVK1vezO2HSgds3TcHwUs3p+MrDT1jFTPh+el/+jQtC6H9SG3hsL1zLEia6B0O3
1Av5yaUpsm6oZWJVdIa295hGNWvn3MnmZY9AARGW2RW9dWjZW9wDkiCHQApItS53t6pM3GMTzt6V
cJRf2mns6SaiaTfnkluSnEOnvRrSpDVfB+Zq7s0Y1MOwTQSipYE8JqS/WnYZyZwTm7iqSmNTjlk/
+K4WkrKAIrhg4TJ7G2Uc1ddt8WFn1nh2uH1eiHSuMl9U2Hi2ZTCZxJCytclakv5YLpXmRR+EnV4P
WXJpunTE0IVWPfJuTKF/2m31vaAoYc1+cJAKFaO5szWJIE3nb6FVMWaYYOvlG3vKD8EM1tVMcwRX
jVhnc/0jcqM7EHNnYVQ/enO4J5uWigtU6MVJcZ17UHpOmlM1sGhsecxiwljAnW4wPLW0q5r5w0ra
Ym8F8DmLrq42+YDGmjuZjSXePeEYO7cFCB82SOxy6J13XeE8zkJ7zgycsWUS4VHsutBwoOgRTxC2
FHxm4/HGtdQfASdEpLJ5bKyOBGzpFtFdGw7apidtZeNNOmBxbKq8iwYqpzaFYmppzbxO7OWuhm5+
jDToxv/9GTP4kv00V/h6liFFkG5sM/hXy4JfH7F6buowRFN9pgC9sZoT91D8Vji78NcU+0CskI9v
wCpsSE5a2Udra24g2fjp/+dZ/4o8/pfjx7X4qpP1xEbCVrsH6tmvr8OeQM9Bsy3PtPbHOQOfnoZ1
wL2GbsR1Um9TD4Gi/Unmi0QHnkKnCY6Cz0imdY4zYz574O9XrrG8dlPpbVsDLFXXVdvAXV4dm9TI
JNCwMC/TU51VDkP9mpzUFkQTu02D2w/bZjuaNrPp7cDa+kkAe5awdGJ4vP1iolQxjJ1l2TCUSVRj
lo9hNi/2yURPaVpcC/VqM47htREAQkgBE69xa5D/k0DOGurzyL51V4fKkmiGjyG6V2HmJ65WuoIh
7/SUB83xamtLMuT9f/+Ifz1EeGcxeuPEkZyXzI9M7w+HiLcYo1flQXPWhzzZcRCAMWuo7Vocbewy
tlZWHb7991/5ZR//5dP8w+/8w6epTZAyBpLfz3VovoDh90H9sF1vnb2V96D3AgS7kmmKA4XQzkAi
21YxXy8N4dGuZl+Xsfusxy3K4Vb7weiUdq4+GaW81YPlww7r13yMa8i+dfU3Lv9/R6R8Av+5Jr/0
73zCFOZf6LQEBf2zIEOWQUIHrgBewG9UvZ/l6jxXOpB8JqGsB9lC/l6QPao47jA2igb/CfyZf41H
Xbj7rik8/tVXvO1fwvRB3//jMcbhBQlQbS9VMjiw218qZdZB8QaMpF86pOPoWeydRPl9ZWg93awr
KuLO+M5hnUW1mgbttoSr5HdI0pvSLjA+oqXBLmFfN0q5joUDDfsodwOi9sydqlOzaH41oDPr3A8B
63Nt5CPEahhUixwPXuBuuSfpaziUu75lpV54Sss0Wo9j0eytOCoeOGVhqVfVB2k20L2qx0aQCm3l
JqU2rD+y2UvXZWshxBnH/VRNkx8CzC5uddPdicSybjQT5bEcvU036oGfj1qw1kSDUCTj0hJ0b04f
fgS5O24xgZG8QyjJwS28fEXi7R2UquzG64CM5hLUXmayWAsIwVwHoO19JCtQXIKZyayF/Nszv7ex
pMWvz24XcyWJ0ufYMB+60qvWWmJ8VimatGAJHxsWPzE2lV5ysuJe2+N7/c7utVglUbRPvem20GGh
SIMrSniVLN6DANG+she4BY2hP1QOl8GFD6GLUIRnQUB4SEfaSN+SOO60z1BsOC8rDKk1u7XR0m+Q
iYh1FMS3sQfTU8tHdzzOs974oKx/6A3WNFmcMYBdDXMZHsykveulh97EZpy5NHnrOxIhMvo3lELZ
2lngXECS7Ws+MMNpVh6RUOneRSS8iYvWvXhGNe8yKL4rbssHMLYeqKzm06gxHHiLE95qfcqAO7Y/
PCLfzvVs/MjIYUP5IAmgA+7lnbkkhqSvNDgXUjtEMc6YsGBfdAxJKECnz34scy+wABGlSabl4Vz+
QMPFxECwFm6MMxgXcKmgAAlNoc6IHqyisLVdMg2UING/yir6lqbwB5senZwRsREwoC62BF+hs0Jp
CNThmxOD1wjK95zLT098ztEqtFvhVj8Y6W/6CBEfHFu/oDvxdbIXDjKrD5XMj1Nnb6zQvMwivbA8
VaEmHiyhMnnSx+DRzkleRfFR+pHmPDZdaPOyjeugop/SXMbX6JkU01y/y+fuqOO2qtPkLo7Djeyz
l1Fv3kleLMHIAvSf2+HsNmm/hhGoymlxwkqiUxi0I1JJayd1xZkk7X4NNOJar8UHtd5ct938VJkG
6ChRbatWDf27pV7P03BIg0WHaqGfx2x8j5QnQip3RCHjGpVA9WxiW/EwUEiMFIlyVLhYKzp93DoN
OgFNuS4I1iuJDuyvJuXImJU3o5jt750CaNQGeYXYN+qgMbCP4OhgSrojiubVxeqBC/RRYP0QWnvL
60PxY9krD3NIo1wivOB1uAzj2sNA4ionSb/od61nvs7KYwKqKQP2jO+EYax2YAZEuDOmlAFzigUA
KsKs4irXSpX/D3vntdtIkqXhV2nsfQrpzcUuMLSiTMmWUd0kWJIqvff59PuFKHXLsFTTQwHLBZpz
MZhhKZMZGRHnxDm/0RGL0AWXxRWsllHwWxLOxaVLOyUU3JcEEkwoU0ywoQ/Rzq6waMzgyiSCNTPY
8GeolwC4FSh8wa1BPhS8l9dfhKqMrosh39qCifMQXv5RxRVoml/H2StsAE+aoPrj7EdQ5Vs41uLP
/zwDOwe6OGeCNAeswynwBUNMg1ZEGHSA+CB0+1fIBafD4Rh4OoFBRg+ev3rqSOoo41r8mYxlKwyy
v6mM+zrgcoa2wWFCD+OIjjz9y4BbqppREfK9M4/WWqUeB7r/myMBwnUv7iEyV/jgXIisQ8FTTFQB
nh9/EyWTESgd+k9eZK3wokLBQ1XDcmEl/Wmv9WY3s9KhWmJlECI2nSM4pNS2caXWCKbjAuWYp7CU
nGqVAjc6BVNhF1MUxs3i1DQluZ/rVYPaiJwr2MVX6OhmeSfnhxHgOpAI4CV7TAiXZeap846D9RKr
BUxPsi5camYOLbY1z0Mr9ZY5rNdZAywDjJ4Xq3OvzEJpmSbdmF2l5ej/TPAUXGhK4CKwawOpmDvx
oKuQlmP+11zJdYzrfT2RtSsISrhoU7ssLuqeXxEUIxVlBR3P3v+m5Qp6Fj6tgJieZeREK60tlq1l
nnSNqUysWvqEntwXI9KuC6e6KqPxxEvbLybFMjpGQByjQD8pSn3u6cWJ7xPPPC9akUKAMO7NY8qn
E+yGbHpAQC4DyvMyMNExG45KQ77JwxDZ4hiZEzkrzsrADA9RAD5pevmHb0YAnnLNmupwlum5KPcQ
tIBwOc58wCR+UjtApTyd0n3d92gZae54XAz5cUsNrk+iwxoJ1GUCyxm46Ejag/pMF5wmnaHNXU0v
Jvj8YOJbrly0O8hKsBRBuWLmSRFeN/QYvUpZpVVP5uInV1lZH/sagGFpkM3boaXGOZReNyVBXfQ5
U7VXwMriCkl8SlGidVd9XgDuTKkIh+CGI0zEIHNTu/ZCQxSGaaP2OoChNIVt5joqNEIdf6+hPi0o
UwMiKVdt1A/oPMv3utncKYlhLzGuT2gMJyjX+aA6LvLUTmZKrwcGsQ4Wk4W2oAPQeVnZ8i0yPitU
aD/VivW5xnws9oGd2EMJZgTFT005GRP7ok3ThYMGQFiixksXPzG76LCL1aVNVWFWaAw8tdzDSm6/
ohGYTXJyDctxvqNWcJrJAOWDsj8yYvl85KKtgi86IjWjriybXFqrlXIvSf0q08cTzQWcbH3p3e+Z
PR5ZCVgmA1hxaRn0QakGtP0PgEXYnSFSqyfRiQHSnZKQMtXUyCTHcW5iT73REPqelYj/Ojr6xJ1+
hkLfkOj0gkdkbA3IeZYvXdt99VmP2nnvRf3M8GmvtLk6kQMUm5HPPkbxcEWLjNDZKl9yyb9GuOiz
lGcTENoLYZsES/GocKSjvgeKXIUm5GhnGZsxLitWNaN/1qz0Rq8v9S484vmOjVD+ThOOZoUWo4Gd
YYOrann4KdH76LCXEvUm62zrW2VnCIj1w+B+Tmo3uuxdq8JBK1bmeumW4HRrEDsSSsJhXENGrAfy
HFWSZx3LArUhI/jU6AKmHpetW02bHH3XmQe0ErkdR7gDFa79YzRtD7Uj84uEUc28rUycrfDiRbYA
RX7dqZjMmnBObuJjGq3eVADmahnPB63oipnX5vZEUUKEF4arJKeIFiLSitdP5S0iR/9mmlchb35W
NLRxrL5Kj2wtNk/d3GewR+oS8GZ+6B6NBbMYfJacwzsyrmUvJ28MB4DFg3cSJujFDpF7EdXZj6Z3
KImEMztUQYBI8pVLVq9p+XcEPbFSDQ/bsP5pld1ZbIwh0DQSUK2Lb9SwARFhfcc9DGgVOkG6IiCY
XZijHgb1NhTiiK4xG1DqDOklh4V6h6xZj/2UMQvT9qbV3KUB6Isku/lOQ2uRl7zmiFOOa31V0uqL
0eBHhs4w+lDhVR8PJ6nTHdYFesxSF371/GEVdCzRvj9tUQf1Ejqccmxe1vV4Bo/ypveNT1moo0fc
AgbFHLlDXMYa20WrY3TVc7LgbcxTM/qOghRKiqG51EOg0H2Ma1ltByuv6jFW1NJsGhrmlTLy1qpY
wSswta6LNjiqNbOeVoF8QyTAvAsGsxSk53gD1YdZ6H01BvSBNbk8NBD6EX0oqelPtZSnR0D3xG6s
wzLyjuip3zg5WnpjNs3t6Az918MowYuQAiPIwGgtQVQEq3LYxIAZQGivwWEfMdazYOxhe6jOkd4M
F1Uu8zP16iiUJZwXzO+unK9aeqR63V65ujWjqDwuqh4CbwKeTtb7nzCDDXyL0u8yyNSJCoDfMWKk
5YrrJMWwI0qzw9ajUAv9cjiBzT4LVfUEkaXvpgsuogQrALy1RsYJrlem69055QBqPKWnzSO7/JbK
vreQZPsMsjGs4bQojivEo3BS7JOFYZq3FF9xOZcBnnc5FhYhEinzQcbYVtOD+A5oHt1GLfE5HQ7q
aedX7s9n+dmWGvzLUr9IQRwk3FS0GkEkYuxHpvU8BVEiQyGTd6VPYfjZjL5Ezg/d2IgM/VLs6He3
EBXaZ0X+gVlsRg23kGmWgxtu8rM+PH//MUT542U9TjyGSeeCxomJ/OTLe8BTGpBrDLwzuSPKw5uv
T/r+GjDU+7cRjY/Xt6GOjGaAZsLTfOhnPHsULwsHzYpa76xJxnmB7GEFQlsqPjf6ecd53axgIBtH
D/f85yghaly/Pkr8iyb1Nkyj+KtnJwhDvAqaR6h8PhwTnmEaZQ4XfJBweumtQWUOTKMmI0xBF+mh
nvd0gsD3UkWxFHgaxrxCvuLvdNHol72YLvQebJVuHT/QVviduGa+nJVeCfMw1Oz4TFKKGy/AxHts
4h/KYKxihaQ1RICsKpu5ZUBSbK3FiMykM1BLtxOseYTFWhIQTRoPfKHVqAuIuAtQdldd0Kpz2xL0
b284kWt3ZkpEx0CpvwS2mk9jReC/CnhrUnkYR9UazXpvgvP4HYZKIEokXLs9oz/u7fYuauDpUIcY
ZhzE5uYA91QZUMOTGymelQkGr6qN1qXVILqkk3IiGJkOizSD/ofx7Ax95eMGsDMUzfobxrDg9NLh
LpPNIyqjOcKJ+C14LaoaCQwzg+RoklrO+egoX1sKbJMQGDuWQPjoxBYpa2iGwXT0yJES6jgTy0U3
r16gEeFSaKkwkuj6L6PvneIaeZxDMPN5pkk2gC1PEKzogmjWejTEolQ9dRX12sUkZ9ECK5ggo0Xa
UWHOmQuQGQDUw0QjJOMe9ZU+ozQ14WA13tTAjdi7qtUw/y4X3ZcB3e7jGne7XMMbKgYSKiBo31G9
WAVptEzyDuB3g3i03pFHNxp9Ft+1T31P/aIVlRDp6M4kUzfnVK/GmWrgjDE6AXD40pGWUtZcapJ/
B5grW3ao7ClNFB1n5rru17kzLPTcXAPIzpZNKS/jBjJqiZBe9sVR/PQqlpG3vQ+88a7raQlqMF+t
Js8Alz5gYUqcQV3mN3SlVD7saxV7l9J1znT0xY8Gx53qTiNwYCYEZIEEegDd6M7wSQtHwAKBAOXE
oHO6lCOogOxoYHeKUZDiHvA85QO255997gEuIJpHv97nTrO77PZtb0L80bNtjkoBipAmRl+C7PSi
UEL7QdUISYQ9VSO2PvYmdER2qIbQYBeueQhi/Vkn4Rs6Ezpee1RXBBL8b+1y7InPYyKbHO17oUqg
KHTwKbq82uSKrNBr2w/986IJSdvIXXGKMKwzRQ18OmCe5ErjPMqzziwhk4wyMhSBhWMX9hM1oqxy
otRXnal4zk/8Jg9LiePzmpJDiEZvl8a0ODS9ohPqh4My90YceM+Rf2ROTgrdxz1DaaDpUxg0xhgi
OIw9KvoWWiIeGsuwi8ExkvcMk3Jo8IIIqTj4h1bX0HqLcSzi7Eu/8LBgQYao6eANaRZdXFKfFNLz
jQY8c+4hzG8C7TRnMqoF0r0R4Hr0z9TfTH3m43tTP91SIhQd/D9nvnVAXBdxXNUd+WF6PwV4YDII
VRhgRhTivyJ6eU9dOZSiFLIB1gRSbRo6jX9Ofc06ADhDVY923aO+1N+AyWgOK+9ZPigCPJZZRHdy
QZNG34MfxLN8sBo5yzdGY36Cxz2eFCSoeTXJbFCEM4koMQryaqO24G5NP6Zih2D+6SAnVTNvghDO
eo2HwiliE3JSA3PmHngdyYOkz1Hj1UMHWlxKYVsb8YGD0FSH+Ml0TSLh4IvbAUY4kSU5+arSS4Fp
gyLRXzShpU6oPWTewhKBrYG0p2J/OEU65BA0h9A0IgzS4AH/HpQP2UW1cBv5OiRqlqkZowwUztxB
vkxFYFWo6kzQoznOs+Q4LdwThRg80LOa0DoAvpAnVFhWsQjXgwjcFM6AWIpgHqMjB2iIAN+IUN/2
49eE2K/IoGWQZYSrT1qQiwRBFqlCl4DnIXdQRRIRNO23WqQVCvlFEsicFsk4IPINi85szakp0hEX
71esBsZ+FtVmPJNF2jIYdP6QV5nLRgOwRCQ3HVmOpPfoDAUeRDp69Ymr3PV9nkF/qBahXBwGIllK
yJpCkT6hJ/WlMehvhgVY2obGUysSLoSMrqiaLgqRirkRLUop4ahfuvlKRxx80uvZp1DNLouim7oW
xDiyO79HJre1CypixZxaxw99QL6p9NsZ+tYoZESz2NelaQtmVgdKUwoQLW4YHEQFsLaMs2hhC7At
ogmniYDfRgKIC5Z8SW3za5OmsLAEWFcTsF3J9M7ZzoKJjiiyUtRHbUOZr5DLr57A/Y6RcTwABK69
fm72IIPDXjmM0vCSIuoJNLRZJDDEpkATuwJXnAuEcQmicyoDOsZPzaKyo91nAo+sCGSyAUTZEFhl
n8pnqkWf8cD7AodukuXFmeTn+dQSsGf9AQANEjqMky8dqoKAX2iZaTeywEpboUEXOr7qI4Mytjgg
ukCxwTmBsBZY61GgrvMc/JMmkNh+131NiYccw+uvPWBtBdC2XlFz9IBxp8C5w8rAD5gcz6h/wP6G
MJh23bSxIrJRwOCZQIVrwMPdkKZwJhDj2eBR5QBDXgAmbwCVR7b3vRAoc7DTGC4L5HnY6gr0iOZz
K1DpisCnZwDVJSk7ki1nnT4g2AWWXQXUTgN/EQiQO2B3ScvOYSJ24LC1K06U9sz25YS4I33C++SU
rro01QDP90H8NdCRTE2B1cMS7Q8jgPaNQNxLPtj7VKDwNYHHrwHmhwKhP1QB+ikCte/Ig02nTV56
AtEfYAGeCIy/K9D+wmsBJGu3iKvhTIEQUApmQAZFIIcqAFLFP0KDOZ6bSn8fBc4lIljoktBHhEQB
16Aah58duJpJK3gIrqfqU9W2sGQVLIVY8BWgS12ZbsTUkTVBbkIVMssD8Kj4gOK9RZ/c69emDxGi
NtN0jlbqaWMUpwo0iajuNfRHYuRtooEJVXMGkuSfZacf4wt1iEcCqmC0J0y/WFla1E3zXqHoUrQL
TL5a2FTmpd6r+sqrOTCNIVuJooanVKCPBhQFhjo85nR2QUn5OInDlV8XV65f/Kx7p5qlXXkCQ/mM
tsp1TvqCaifUL6o15rHDvsjeSBuavuycY1a3DKPsawprGcgDMIYYnTbD7VCd80gwgrb74lR1M2ky
iTWd5lw8iG56rdZYjv0iahqZPqqWTZ1eTRbRgJZId9+VAz5dBnrT6aBDp05u+oERVRwAGVS8526b
fSmFQL9WSV9U5CZ8D97JEFm04zVjJVcZLXn9O+DEn63CZMhT8zoveWEdYMuZEXNeUby0WBRQSNsw
mnsw0yaS18G8jNtPhhRd8qjwSvyzMdH1haHjvuW1EnCF2DqxCO4IzsirJosCDCvsfqV39J1y9xv0
UnpGcXCfdGiMIZvfT5RuTA+rqP1MkXCcmlYPJ7QvW/RS/8mSNlkSKfU7WdJ9ygkh2Joq8YdPqRIe
2rhvAFAi6xEOKnz1lCqp+gHoWgQ3UUqQdRWTq6dUCWExaCtUzZzN6UG0Z/+qhVgGYl/goRTV+Dt1
ENqZL9Ikwe00yOJIxmxMUC1HEWnUszTJoo1gJ6onnQG3JyEHmSTr473boeIRGTEeD5g9GBCSygf7
BznIy0tHeEKoVou+Il7SeEV4nrCNcJRBmzWVUn51H2wlDAkyICpKwhNw0JdhQWuoUm0YPRX1VoiT
+hLFJQAyZWcvqab28zaXnEWpqN9oRcq3XhFjuKv2+SLz8SPqED6lPwjvEFGDfq5ZhT5pIrX8ngs3
PYoduJ4gSXDUpdZRGJbIM2nlyvATdVI10rJRmx+Y/7EJFHhEoDQGPkWlHyINp5iHIzZmGXMkGICB
pPRzEqFmwwFNW+LgiaEvKvRsgz3S0sIZArjU3PaQ61fdMp+PGr6adV+dA9/FG3uo45vWNoYrRSFo
UBipJGycC8+fwdS9QO2WnFFVyDQFOAayaRfktxU+jyYe4NTCsWG2W6ObW3Y/LmurC45SHAeh3gX9
in1YnldGQZmfVAmpyV5G4CYHIcRrkc70ApyN4TlwzjNtCmAHCQSw4RGa/hejHVrLtNKji76Vz7Ic
iJQT0dqhm8IfReMYLCjIpm421VIgGCEtncMSNMZkVK0Uc4MeElplW+hQgK5CHMvBVuzK4LbLNgxx
hGVip6u0bNslChnBkWtK9mmgdxW6O+i0RMi12OmpIuRblMa/iYWgi4+yi0cVa9JVNK4VVF8ipfbm
LjowMl4yU3RzTmKRcNjhcBYL0Rgf9Rh/NOg4etgwJPoAHh2JGb200VBOSfOk1lyVQohGFZI0bThg
SEZ2hcLlUheyNU5pT5XeaMhAhk51sB2jamMI/wi6zWXbqfppa+TSEYXkqYJDrHZuGFXEaFOBkmnD
YUmjVqgpoFJen5SFQ+udiXbWcn5elIWBSJyeZTMpy5ZZ2alU0MZmqfnxd7zbZkAElekg9dVR1wsR
qtZT2Nld+1MEtEhKnDtVqk7MMLnImuYzJumnVW6BLFKl/NMgBcMK8DF94WyEWEapC3vP+FoOXXdu
2/c17cUgtoBBWCeDnzlzTH+WBRxUMxsXPPMZJMcTAwVpzGePDSU4SXzbg8BkuKepTUhMzFxbND7S
BEPvrQofX2s09aKCl2T71lHeBeFEQn9vokb22msorNVmcNa3qDH0qUNTsm4TaHTFVDHjlQNoyy7L
dVLaky5Dsxv1NRNDNiRkF+UIOQosk9xW2cJT5cscQLufhyur1Y+dDu1oRaiF1ShSdX382Y6xiNKb
z2YrUyUA6WWeuYC4j0BV/8wL5dIYm5XV2KReyZy+nTaVffqsUjQN23btw/gz0XWoIC7iu4TubJRe
2pl655BCTpJYu6+d4VLHWm6WFPnpANpBivRpzjtOQs5kOhqmHua77ShDxHGT23EYrtE0pYMehSvA
wudjhqoa+lSIWuOPlOEZmwFn4vaxIV8kaf9pAOWtjpgzu80MDfGJP0pLCNSHlilPkzxEtRCrTAND
wRgfedMGTinhSQeQLvJR3c6zsxQPnnmKKIZC2XPCCfNcRRYtaL3DnmQVc7qTFitchFzWRaOSgPQk
dslPOiRTl6ScUzvq5DFJ5X3mNpc96jahLUOUM7G0S78ZhTUDsjYDITtP6xIAhXpm6vZVVZsLHWkX
w+vJ4JzrOMSyBAViDs+dvEx0FFZchxmICA4Ncnymk58oYAC29hcDR7XKt2em3TtAI/yVpgyH/Vh+
k5X6aDTsK9PMv9l+dem1w0WT3KVDfl/Isj+NezAkmmCF54sKC5XIw/dHHqae5l9opX+atdolmPqf
isRZvAQdgmhhLsuHktMe2pWEA2p8FRrZSW0on5HnoDpNhmMaOWd1rHvlZsFS/FQ59kLRqiM8Wrhh
Mafh3E+Rr52RaKfUndXbrsm+cSl90bsamEAwsqykYmb5kNfTbg3/YppiE4gWyGqULA4nyOS2ZbTw
JYIELXQcn/2BM7VpLdW6/QpH+3sNj2DIrRUEBIwHdNiSdXmYIj4vYy4o8P0AbNtvXSl/zUpkJSXo
xdjpBG7D2FFjSGtkzwxmp7VsjfYCH+HjfExpHpCKBtah3btnSNesUj05wsnhFCMWFB6bYJFgY5O7
8ooFBo3BJs92TjSlv8k5jMNDbKZUND+7pXlRoduXVsZl03vyxFaqq4bOQZuTYJeiIWDEJ1jFHsV2
IU+62DstxUY1Zt+GqD5WS2OZ50JsssPJqZtWnUh60mNMsD+X+XCkqNmxpOr+meTK7g9vCOKrqtL7
Kbq3RyXwvpGzX1tHBJ7wjoT3c1gn1gqiCugIFNQE20HVwTlkKD0Gyp2JMAm8mG8U0Vf0cc/YbwMk
taOlgqkbMrmsyxhk4SgrNz5MnoWjRdcJUsuToo+WWMCdh5EdziMk49IMNyEOSocukqidKoG3pbXd
VuhKY6QzVQZ1FsXIFPjpee/B4nR75ECHu1zK51IVrmuqGDnxjxUAbDFsrXnTUP/HNXMqkSFEdTNN
YoJEj+hoi05S2xoLevAoRVqLAORXmgl6LZRv/HJHbKHS46HGtLk2rjODgkyJWF9KCbTGGEDysYZM
8U7O0WlTgNmUSraKpfp0lLqbqsxvGxt5phDjOjcGY6A31E9kwt+zlPb3beiHDBE1EaG9BYreMQT8
/VmGWHdlCU4rlc7k5DCARJJB2Qdi8f5NyHOfVes2aSgyJwqyYTqprfoKQx9IiQyJRJHOevtH2S27
5qbH+RjFCaz/3r/TtoT3+Z3EL3n2OJmbDQpGK9KZamNjigi5pUDCWmWQvJvvAeLe79/uVYd9M3qs
JpqMSOrbrx9MRYHUhvbqnbfS97o5LrzbNL59/xbbnohsmWSZ2wCkfTV2Lsc63M9y/xxQNiq9zTDM
Yx/+j4fEAhiI+je0rS1PRN+WQwsQS9E5fXViaFOzUge5Ds4DTNQCjVq8wCH+5pkoLL+eDy9uIr5/
9pYqV6oN0+UmYQn4vDzBgXT2/qj97jHE98/u0NYjQoqwUs7L/NTEvyPClNUKfnOTV6AE8fZfPMar
V5NH2Hq0SRWc9xIO6gYO3+e6gPJYNwaqyEimNtVv7rjtsXAAouBtIAsE0vblY0VQQYMUzeVzq7gA
u4JGwcr6m8CUh6fSTJnuKPAUFSjuy3u4hiaZdluGuCD688QECYvXbPz5/fezbeig4DoGkn/00F5T
x/Bos6wgAI1S5jepeeJzUgzZDBwX6+VjvYVz7168f0cxp54hSDaP9eyOr14WKtFOmStDeC73GOVU
XzFN/s1moLx8O3REbGS9dSDL8IRBFovj/vNJh8OKH/m9kpyHJ+WqXhE8T7MpqnkX/qUxhdCyQGx3
8f5Tvbzlw87Kxv3XOL66pd/KSV/nbXjemhXHZDr1DptCdvj+XbaPHTgfmchpQKR8+WDIgJhWncjh
OTScqaocC3uA9+8gRv/128GzhNkGLkrQRV/eIa/UQBkqKTwH6Qd3QCXb/B7oaI2G4W+eZduIPb/T
qw2OE3FWKpYZniuU9uwLw70qxt9sb9tvgQk5UAtWkvVqqgVK1Nr66EXnaXpm0CLtQSlTMv1NqNu2
hJhsf97l1auPyhaAKEDr8yC6RYPF1aR5ST2RrklUn0sRMILfvKM3jwVPHMKd/oDyV/Btf/mOVIfm
SmJl8XndLgFjdOa8GC/fnwZvJtqrW1BLe76C0tZjQP0iPqeyiRcV4kXho7X0L0Fx22+h2awaEh7q
bC9vEfY94GlOWudVfCuNK+SqfvNe3kxlngElE4N1QuGNnufLG7B1WtB8x+ScPC9pjCl4+ABUKmLt
D2P1/wCe9vgTZ+t6zeERZudFc18Ol/dVQ3X7qa0rvj3PgrS+zv6zf/T+hR45pdccIv/7v9Z3hL1Z
UNVlcFuzdbzmm8pM5Rd13ocf9vCr371OvObpmjvugAkSTHaqtRrYdvHhrcYZrvKbryUgGAeQ22wD
SYnnr/G9UXj/ATfD+f6/effHvx4EkZzuPAiU+sh0Vai/4sPe+XoQKIDrdOd5Cdzr2UT51VR4/wF3
G4TnE8EgsPwHz88D/jUHrAMV+xAAN87m8dmdXjy+QEYoFtIdAvkoPvswCNuWA+9t55mApqWKJAod
KfHhLi+GQihbkgEBHNnMuv/jmbBlEIS2yo6DgLAnUjKMwuPrfrMnKAdgXoiUzr4OwuNmtQmef+5V
f2tjNA+YCJowpdzMhNeLgpmAuigRUXD0/+/3hC0zQVD6d5sJwiYIoLHgU24+bzZGlgNf64Ce93UQ
yIN2HgSh4EAplfF8uRnoBxR/EIYnOOz1vsjk2G0MMIUycF4kAgp+B58tWwLAeCphgta6h6tB/Oyd
BwHsICmwChP4YQzEOfjlfFAPgBaC3NuM9/7FBnnzcnbZFiE08ICclzl/vHx4+QC5ZwTIwACLz37O
AwOS987zwDgAlIyYrWCGPz7q66EAQQrJW93X0CAQrDvuCDZC3nBSSQs3g/AmNKiAZtHQJkLu5Y5A
WN/8sF1Wg3OgimTQBDb88GHhv5wJKnAYSs5I+uzpIAiY844zgXSRLAEo0K9yZuXAAM8PrnmTn+/h
vrjzIECBsAyqSFT6fhEbdKYKJU1T3dfgICiOO84E88A2OBiQNm8Gge3v5XJQDnTQYSRTmwHfw5nw
ERsjdX9BnXkcgzeDQKAUVj4oMD/sGXsbKHffHsmP2f3gBoH6E5/XMQLPJXoKNBT2NU4+LtZdQoR1
oMmmY6Iwv5kPbzJnzlggKS06LA9jtK/TQd49b8Isix42keKxrvB6ZVBnsuC/GJBb9zVafkTBFU1d
Gt+idvt6c+QLCyW+fZ0C2maZ7rYayAdRHHyKENuOUACLGZ99HQSBNd4xTBoHGsbKnKU3AUAclV7M
BNaBKMpThNtEoz0Mk7vPBCoK4MSBZLypqtBxQDjCova2p7uAspmbu6wDDkfYYQuUwMOm/zYyGgei
H03ffb+ThMcZustQcIYyhdqC/HiGep0kCCFVztpCjHdf58Nmou4yCGTOssqCIDJsPq+3BJtF4Zgm
+hL7Ogi7p4smYhkcodCE/sUg0IfiO2qM+7ovCkX+HYMD50RkCDWobdvzRYIDRTYFsNTezoTdkyQC
IFsj+J/Hg8OWugrWqgrKKvu6Jwi5hd1mAiUFwO7C7xWOjfi8CZTyAfhM9sXHlGT/0oTHdbrLxgjT
zFBVDbn/zSC8Pj4p9gFKFdSkmS3is69po7aZqLsMhcXpSLDnkCrdfF7FCKAaaIsiGvSYp+/hfNg9
bcSl2UKghDr+9vnAIBhUHExLtKhYgPs3CEKWdredQXTj4D7TidqUDN5kj/Sm+VKm5rDJqfZ1UUAD
3XUozAMTFQthUrM9kSZ7NOlCIKa/r6cJVIV3HQSN0wQFReR8ti8K6mxg7GXUQvZ2Juy+M9hCrFkM
wyOKads5AjaIIqt/bp97uT8I5ObO+wP0a4yQYFs9fN5UWeQDmpekFtpmAe7hJrnzziA6MppwnHrq
1jPDXlRZiBQmStkGKJ6HAd+/QUBHa9eZoB1g+YV65WOl6W2pifK0MBtR9rYELyDzOy4H+8BATkzo
v/9iOYhMW/yHotw+55CPNdHdckiRK3Os+lU3Qjkgv1SotuzrzvC4Ze0yCA/IBCQ5ReR9sSUQJ2GG
2TSsHk8b+7oxbOofu4wBeTRZNPS+R2jflmipovdCQrHfKaRga+y4Peji2CRODL9uS5kQKoSn4Gb/
2NNZoe++UwJ6hegFE+bxSV8vEGIm0C9OoXtbi9V3r7tQVrE4MAgmzcNnS/GJPUJGGGdfi0+P8Ipd
9gfKKiC8US5+rMCRirzYKsVMwE4UcuDeDsLu5yqLerNMI8r8VRlSeLyJ8pO1udf+pZCC977b9ggG
nCYUQuhPbIAteTTIYCA9yiaU7OsR87GduMuioEGh4ZfL9rfZGV4viofavMifhKIuw76H82Hn7RHF
UyEdrJMabB8Eik+UpoRqwN4Ows7nKhYFXF6LDOoxUL45YaucsGlvAw3d05nwRiz/P+EOcqoyAL/+
quwEnoePQTjd00FQd94ehQAwrFiU7R4T6S17gmMicwFOeq+zR6GSvFukgEsKOxiuzFN/4vWiENsj
2SM44U21b/+2x0f2yi4xQqChedGW9YjseD0fVIzVoc5ruL/++4vi3xipPwnKUx8flwdqcnBfbWMw
/+ofPFFW337/jHj8wDd98S8FVXlz8w0zV/zv/3nJXH4IhM++fQqMD3d6/PvHR3x78xc3e3qup//z
MLgv1+UtlpsPhO3HH/ppncBt/lfMf92tn7NleSeaeDtP/992mvWfy+D9q79jJ/LwY3a5eLK+y8qn
X7m6++//Er+ckziz6a9xfEsQ/7d+OVZj9f3TdZ5dm3POzteeruN1yyupnq717PqkA7tfP4ub6s0r
ZWDYvT7g4kjGrf+YZlW97RZUxHa+xew+/uMTlnrbxp+D1M7Xn8d/zLKSyfN0rWfjz36z8/UX5X21
TThWgFF2vvgyvk/Tp+s8++EfsVwPm+RHFt/Vby+vkAPs/NNXSX5fBuv46VJ//XoBFtz98umw5Y0q
H7Fij+/LLWMuICU7/+pjtLS2bATKR6zVk3W0ZQ0J4PjOP/tkXVX328bkIxboSVb98a/Uu4/vt43M
RyzR0/UdG/DTODybiB+xRE/XZbBtaD5iiYprI/O/5aeLNH3n13r6G9nrXWP26X15e3/39EP/GnfB
Idn9x79j6rPzD8+27egPrikfcOn6vrwfnkbg2ah8xEr9tM63zZaPWKef7tv129zRQKHu6Vl2SO/O
yjVbwNOFng3KRyzR83h9e78ldxRk5J3n4TnmZtuSOwFa2PnilwGpYxXcbRkZ0Qrf+fpX61sknLnM
llgq2swfcIP0j8l9Gmy9wUdEVGGHPiFgr8u7rfr9wq7rQ55iFtx720bpI1ateIgFK+A2qG633eMj
lq+4x1GGgvS2aKV9xBr+95zpd91AxV1O1/X9tnH6iPXM9ev1H5N1+WO9LWcQ3dWPmE/cYxpvv8PH
LGzxFNOyGZ9+7l97quiK7v4I/nrrmVB0G3e/ODWMrYP/IYs5qCKkH5un3/lsYD5kLWfxelv2ILqC
uw8MiUmyJcAL9YrdL16v06CK182WPFz/iDh8JcosW+KwEOja+ddf3/vrbUMj+n27X5wcH/XDpyv9
NWWMj1is1w07wZYQL/pzu//0hgJRss3mV7Tkdr78F67QbFurgviz89VvsnjLPi9UaXe/dPNjy0IS
4h+/ufS2suyfjc23xdonYcNtf/ayFi3+xW18vy7/538BAAD//w==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8B16B0AA-CF4C-442F-9FEB-E01AD3C23E1D}">
          <cx:tx>
            <cx:txData>
              <cx:f>_xlchart.v5.2</cx:f>
              <cx:v>o</cx:v>
            </cx:txData>
          </cx:tx>
          <cx:dataId val="0"/>
          <cx:layoutPr>
            <cx:geography cultureLanguage="en-US" cultureRegion="US" attribution="Powered by Bing">
              <cx:geoCache provider="{E9337A44-BEBE-4D9F-B70C-5C5E7DAFC167}">
                <cx:binary>3H1Zc9tIEuZfcfh5oa4LqMLE9ERMAaBEXZYt+eoXBC3TuFEACvev36Qke0SQ8kARzdgdUt3RLZFZ
TOBD3llZ/7zv/3GfrlfVmz5Lc/2P+/7Pt2FdF//44w99H66zlT7JovtKafWjPrlX2R/qx4/ofv3H
92rVRXnwB0GY/XEfrqp63b/91z9htWCtLtX9qo5U/r5ZV8OHtW7SWv/mvb1vvVl9z6LcjXRdRfc1
/vOts0qjH6rKo9Xb7ffIn2//na6y9ffVG0c1eT28fbPO66ge7oZi/efbrXXI2zd/TL9uh7U3KXBf
N9+BmPITgZggwqL2w4u/fZOqPHh628CEnBBOGLdg5cdvvQZWXsXRAz+r79+rtdZwZQ//3V1g6zLg
bvz7v9+F+83d2AAQABZ/vv2YR/X6+5vbelWv9ds3kVYPt6saHLW51I+3D/fmj20I//XPyR/gbk3+
8gzl6a39b29tA/lfQS6ifH0AjMWJZVPTwiZ7xFhMMMb2CYeXaXI2BXkuRy9hvEU/C+ItiiND2FFp
ow8hxfYJQTahADF6eIGwTqUYIUEtm5nbCM/naD/CE/oZCE8ojg3hVbpq19VKH0SMsW0RTDh/AWR0
YonNY8CsCcivYeoFnHeWmAP1DtGRoX21+g5YHwBq6wSQpibhT/KMp/KMTpBFmWDY3oZ6Pkf7cZ7Q
zwB5QnFkCP87W31X1QEQFicUnCpEBJjcbVWNwBgTYlNkP4g5QL/ld81maD/AkwuaAfCE4sgAdtfp
m2sF3v3fjzHDJ9xkACYWL/jWDMw2o+BbT5zrVzG1H+fdJWZAvUt0ZGg7CgKGjcLW9SHUtjhBG6wp
5fsdbQimMGhtk2NwwZ9L9Wv52o/53lVmwL6X7siQl019CBmn9omJweNCL8VWBJ+YJrMwJhNFPpuh
/Vhvk88AeZvgyND10jeuqsBU//1anIoTTmzLJE8JEhs8rh2DbdsYxNraZ7Bfxdp+rHeXmIH3LtGR
Yb6AfFJ+CMCtE06xZZoYP2rxKeCbdIkw4QdPgun5HO3HeUI/A+QJxZEhfJqu8/wAEg06myAT2wTi
5G1RBvtsC8wh8tq2z7M52Q/sNvkMXLcJjgzWsyb7ptLv9d+PLIPYSViYsV1k2Qm2MEWQ6X4U6m18
X8PSfoh3VpiB8g7NkQH9VaWH0M+Qzuac2eBzTcUXAi7OOAakt+Gdy8h+aLeoZ8C69fkjg/SuSVfV
AWJlap1QijBBT1kPNM14gdElthBgc+k2tvM52o/uhH4GvhOKI0N4mRXrKlqlf792puSE20SYjOLH
BDYguWV+sXligt9lYkiMbV4TKX4NZ/ux3llhBto7NMeGdz4cQklbUFcm4GaBov5pcLexFuBq2ZYF
Ir0tz8uZ/LyA8HPqOeg+//yRIXuxrg7hPZsnlD8kPB6FdJ+m3mTBMCXQS/A8yTWXn/3IblHPQHbr
88eGLHSmHKLCCEYYqouEMfMFobVPLHgPcllTaOcy9AK2W+RzwN0iODJ0b1f5JjtdNeMBbDBUFjnD
DGHrEeJpLwikqKEoJcAPmxSRX8fVfpz3rDED7D1UR4b45So5hE9tn0B1CXMEtcSH156uEBub2BJ8
gvVcfvajvEU9A9+tzx8dslqvD2CFIdPBoJ9L2BAxPbymvjSBZhB4mwlroqovV3M5egndLfpZ+G5R
HBnCX5tvhygl2icYAIYk5UvNPlBXArkVzJrEw3P52Y/uFvUMbLc+f2TIXir95t95sE7Xh/C12Aky
CaHip681NcRYnBBGoUkEFPjmNQmGX8ncfrT3LTID9H1kR4b9baSTaFDN3++BbbpCKDYF+dlxPS0v
gQdmQbeuCQ1e2/HTa3jaj/fOCjPA3qE5MqSvVlV0AAMNjfXgaJvQwPdUN57KN8BsUgzm2Z4kQGYz
tB/jbfIZAG8THCG6hTpIzzU/gf5L6NAUTy7Ynoy1bTEuCDjgD69tad7c9rmcvYz01gozwd6iOTK8
YfNHHul01RzCZHNwqREUh62X4il8gtDGaPOJSL+Oq/1o71ljBt57qI4N8VX+xo3WwSGS2FCwwKDC
oWgxrVRwKCdTgQV9ypRtyzZkLObz9ALcO0vMQXuH6MjAvlrn39V9dJC2n03EBXqa86fq1FSfEwrd
utyi1J5E1K9iaj/au0vMQHuX6OjQru5hQ59zgE2PFFm2JaynZpCpeEPyhAkIvTFn+2Kvq/Vcvl5C
e4t+FtRbFMeGswKh/vthhkiL2ciGesVTrnun3QudmIxA5y6eRFpXcxl6Ad8t8jnwbhEcGbo3aQO7
rP9+eKH12qYWh8bcpz5NUMtbJWaQYsh/Av500qc5n6P9+E7oZwA8oTgyhK/UQQwyJMBgS/IvJb0x
u1v4blqCoFQFGdLpJriZ/OxHd+tqZmC79fnjQ7ZeV+vhANJrQRcf9PFR9JTg3ilg4BPLtCC9PZ08
APd7Nk8vIry9wjyUt2mODOnrVXGIMgbIsA0NBdAx8OBIoR2UYbwEVKkQZFG2Q6i5/OxHeIt6Brpb
nz8yZB/L53JVfVsdZK8yO2EEbfKYL2+XsGxBGYbxA3vyYK9mbz/i+5eZAf1+wiN7Bq7X7eog42PA
BFuEC4qeNqrvyDekxDBMnWDTdpL5HO3He0I/A+gJxZEh/K5aQanyAHaaQtMubG4T1kvDY2CCkAmb
1a1phXI+R/sRntDPQHhCcWQI36Sr+/VhRhGAD73B+HHgwK6NBhnmm6Zt8qi/J972fL724zyhn4Hz
hOLIcP4QwQAZHX0/jDDbApmUPrXu7vbucmju5Qj6Oycgv4qp/TjvLjED6l2iI0P7dnVfwUC1vD5E
/UKcmBxGfzGYCvTwmkbQsDkd9lHBD/Rzb16THpPX8bYf9T1rzIB9D9XR4Z6/kWuYWHcI3GHzhUk2
cwle6OPe4I4Igp2Sk8ZPcIZfwdVLiO+sMQvxHaqjRLzKV9X3wxSwYIsrzHiDmuRTeXrqi2MOwThD
YOu3Q+1H0F/D2O+A31lnNvg7lEf2ANytw1W2+vtddOgFhh1zFrQTvhCBQ6sRjCgBYd/sr9xV8/P5
2o/7hH4G3hOKI8N5I08LCMfuI32vfora3zOrlcPGDA5b5n454lsJccAZUjHQW0j3SPgvjuY8gPuB
3rqwX8vMwHs/4bHBHq2rgyTYYFyFhShMLnh00nbjM3QCb0IKTjwmYaZe3Gy+XkB9m34O3NsUx4Yz
iPcVjBg+hOP20FPIOVQsX3DYQZMTAX0qbArya5h6AeedJeZAvUN0hGifq1XZHKpJGPrLGAG1/fCa
umzgqBMb9mPa9n7Rhrv/CuZexn26yEzkp2RHiP1lE+k3775FujiEvJtQ/SIWJMjBrm9eOz1nsIsL
cjUwPW6PRX8lay+jv2+hmU/APtLjewo223Fh7skBfHfYJrDZ4wM7NF9qRcMnm6knUEGZNLGAT/Ua
tl5Ef2eRecjvkB0b6uFKb67x7+49hGANxuxD7zB9aWMfOYHGYiRAL/yMHR5PXLidzdELWG/Tz4F5
m+J/AOHfs7h1yZvDGP798w7vic5ef5AGdBJaFlTB96ty6FayMCcctnU++nY/v/sR3eenfzwOzdjH
035kn9NuXePjJf7+pvzPHZNxB/u14PCTg4gmh/kX4JA9NSrspMsJNBTC4EA4Z2EbvFewtB/B6QJ7
UNz6ExwJMyU5MpRvVbo6WFch1Do3nWcPrx2XCwZgMBtC6Z3c+GyO9mM8uaItPPefdzOhODqEc3WI
dCgM7GXUtqDt7KXOwodtPRaD7XvbYnwLfaPzOHoJ4S36WQhvURwbwpuZ24foWICtOpQQOArlyZTu
7N+A3lGof0HcPPWhZnP0AsLb9HMQ3qY4MoTvGjjRKDvIoVWwf1pAuQowfEFPI/CTCcaCQNLk+Zix
1/C0H+WdFWbgvENzZEh/glvcHCQChkMwIHlN0UuHJjxM/oTuIwtNdtW+gqX9OE8XmAHzlOT/Bcov
H0/366Q/d1WvvIczAp+dUPf7dx9uEZxtOCF9Eq09wcivhu3l9z/fQns3hRQlOFO/jh/cLLQlmI8H
yfwU1m2qNUTbf76F4wbhYCPoFycmbK2HUaEY9He3fnoL2tAIhM6bDfcUE0iH5HBuSwhnGMKEfhgb
C+NjN645nK0Bz4lWzdNb0Mtkwq5tqHtb0KPMf53heKPSIVD5r5vy9PubvMluVJTXGhYm6O2b4vFz
G3ZNBNtRIL6DLaIQxsEM+I2LWNyvPmym0cE9+D+qMMfEHHz9DqX0LlH6lmjzImP6fdIXsexaFp4H
SHYZZmfxMMRuliT+wm+tzqn7xpeoLErJh65x1WB8QGwcnbDgWHastqQe8fsalUQyG9bKuQq9NC7w
0g4qIoswva14HssxV0Ji1V8ZJVIyy+PC6cbWcIze9F1e89hLW2LIqu7Ka5Rnd7AHw7zi7ZhfxoTU
UlmklIGvA4+k/JRpO5CiVZ1jhWEgxyq/C3NB3dTICokqvSwLc+GLOvB0gonkLFuPZfipQqkhU2Ke
KWrcGmOCpV/qq3EcWzmawTeIkWNZms3gVKrz8moZ40sc0O8tnLJJndoOzpTyA7drGyLLsYnhjiSp
m6d94pJRF14xxKtuVIXs6+p7U3fnuC46aSO4oKr1l7oSN4PBCznknjFeNjU+75n4y4ytpUIxk/Zg
Itfm5mUVVDdR1veStaKQqsfvEqtKZYAaDwsEkFCuZR0EeskrhqT2sw8k6Nh72wjve5K/17loLvyU
pk6EQ7wgpSJS8xYvqFU1XuGr2kuTKnb9pMOyQuKSROFyaCImzSp0Y5F/6BMdSzQ22Ctpxh2hh0Fa
dtZ7FuKlF5R1exvUiDo+tj8HhoqliorTEsXnOuF3zB5X2Ajy02xIZI1qL25D21UkTGRBq1AWrDjr
UEscqy7PYQycBvzKU5tmsZP4OEc3BavzW+GX8MWVlkWi3o2suo9Up5akNW7gAV/ZKlKyioP8PEzw
l6psr6rQblxDsNiNOrruu2bd8mFY6LovZKmFf8Z781sGIioVsOIkkZUsoq65NUmgLzKBzts4/lqM
9sVY4tExVXiqOuOyHIZCaiTQog58LFXid7LS+rqORxCf9i4M/G9lyMVZTu1exkZ26480lD1pPpeU
L5OyDs6Eqc5hZE8q1WBlC6HzpRWYH6sQhedtnVsyicdbWLO7LFuzdXpbKa8OrMrJozGSbZUnC2xv
wOvp4CDLt1zss89axZXTjk0jtc7zc02a3ukNzmU4RKVMdVo7Y6/VlwD5wVkehtVNbJm27Gjp9vmA
F6LJPgkyxjKow0XfxlhqoiIAqMg9P40bT0dJBNJek6WOVChVbIVuRZolGgValiJccuynpxbwIkuL
DhLUYi1Fpm90XI9SlfkZq8uz2LDcWI21jOM6dorUwCBprHYMRHo5sJC7dqDdmuFccvgfg5k3cWBL
pduPuI8vzKo5V3S4tll12/K2kaPOTkPDT2Se+aPME3zd9s3HSJm5TIfwJmPN+yToPomkv9LZ+EX7
jMukrUHhqPiT1ZJz1qOzQeu7WlhIlk2OJFKKSjvtLxNdehxVapENQktS9Vd+Rd8n+ZB6fYc9Topz
0jS5HHTzg5n+X1GA3zEVXxttcVPGvHREq7/5vtnLJhm/pKGmkpVCeHmc/aUzTqQ/+KGsSXGnQnbR
G4Xy2hSemtq3h+QTbWLzLGJWTk8hyCdeqPpz24yU+/xw2C3bcK+KoYqC8OmI31+//utOZfDPw2mx
//nj5oTg//x2ulab9J6efmhjwn996j8nzm5M5q/jZyeG+PGY4Res9G/ffNmEP7fFJpScf2e9nycZ
H93tB5P4QPXTemNoQdtMNENwopkJJ6TAgr+sN2wT2mwSgQkqAgzApn79ZL4ZJFzwZpsn2mRG4bC0
Z+abwIwkWBDaXgQkzGGo8GvMN4bv2LbeNnRAwbhLC3I/FIqu4EI8t971SFVRNk1/nXfU9trOD8Es
0JgnTsK79r1lmMN53Ld54iGU1F9rxdqPCdN9KbWdl5+f3b09zsRmZO6UG3BKYN4u+CZwAvMmp/ic
G5YPRWKHTXtNyhxfB8mY+7LhygqdHiTNlm3Hmq+8LYxIVpmoS6eMqySQ/qg5c6CjP/9u1zV6B2uE
jUvSFH8cTUPg08Ey/TUeDNwvfs8xgfTIDsewaROGTtomh6M0Nt7RM++HRTwEbIf6mvZmELhWP6Yf
W8il0UXNB2XKdugx2A3uCzlya4jkkCB6mrXVgN2qVfX3sNcaO5FRmK6G87VbWWchaiWvzCTwAhWH
N0ljn2faDrULyR37kw7LiyTtzN6LtGFdRVXYZqe/v6pdGGBvA4LB9HAMH8x0ebjoZxfFByPojCLV
1zkokE8qEODosITAo1HkTX/T9ZV9W/g4/fL7r908a889SXAhwVPlFI5rhQlhhG7Yeva1JuoDVugg
v87FiK9xEjbXua6cSPjhp99/E4jPzjfZ0O3LYRYozLQQk+esyNkwllWorkWB2KrsVJWe+rUYiEyK
0ENlk44ORYNQTkzNLvtvD83UZYarJJtJ8AyOpYUTWKZfD3nYKAzyLLrmZWKusrgxV0m64cEcM+1Z
lVJyQAD9aZeWHTiEieLrOrX1srMHdtlbtEIO7WKVODHPs4+0Kgh1QzEM6wIshouMETwr01asOjOp
NTby93dvc6bT5PbBmE1QG7B7EY5Bh3H220AhqzFz0/SNK9z42Sqqah1IbCR1ziQdhjw478Io+RYI
u7jswTleWIr1kUNwy3/UfByVM4QBd8DAteuoovx7axYhP/89k8zcAZkyCg/RpnAB3UEmh5zI88fJ
qkSEqrCmVzErC98Wbm2H42lf99Re1G3TOFVfovdtNpiNDMOQOxXOTzWpitOUFcRJ0jL7UKRm1kue
dsHnLs7UctB1LQuzLD5aOhGuX+a+06g4jmRU07iTfqzz664w9LvSGKkXBNiOpTH6eeaQNszOTKtO
P5A4uAmGnPYybXh5XfvlXU0yg7rgRcCNjAYCuoE14yhRJ+LLNDTFVx817Dy0BL4cg761nQ6FLINz
pYdoaYhqyGQ3iNHFnWm4Y9zfF7qsbxtk8BAir5ovfF02S+YTcleGuEtOfW7gSI5h4n+DOnzVyigv
jb+ajGduUWiyTFReLHFpp9+jtrBA7mmW3Ea233PZliw4r/yqcQa4D6eYEftd2YEDz7qqXGDc49ZL
4bjHwGm7QJROS0LfyzSt3Kaw34W+ESAXY1WfgakhnZOj2JKi5umXPkPhBans4taktXna2LFBFtrK
xpWwVOVp1Mfjok1EsDD6Hq2ITrsfOigK0xlJjRqZB6QNFn0dKxCOrvOGoG3EolJ+6KY1zc5y+KiE
8XSVghudtVzGOo4Nh/sdl1yZ/ShZnfoOrY08O62sxAtYM6D3HcXMjTQEeOBpsrJe0Lqz9WlPeX9p
JeOY+u+brqyzTA5ROuTV99APCRm/6s7oeRZKuwJVru7JkMU1rWRTN02BruukzhJww6JyPG3tpvaX
WRVFhYxJqm4RN+gyHihtnAYw8OVQIvDmxjATws19H+xhnSZd6VlJFyCnSmvsvwtLZHF1lgy8C92h
T+360tI1hSeq8xXWndOALVxYRhj771oQHStwSlEIeOBoorNFnkaVLdMSjJfv9W1kOYYPhV1TDj7K
GZwe6meZA4FQ5y+6lKeZp33wChZmHmSjI0YTNGZOEtY4WVgZqWz1EIDDHhlZ5qkgEj+MpuURcpEi
9WnERCOuTcMP/POcQoRuxk7e63IczjSMAK1CrwhCnnm+bsdyYVc6jxZDamXDGdI6KxyTDGnkQNQ1
pKdVVEaGA7CSz0aRjdiFnV5J5sK/yHiXxsjQcMvz/HOcZXa2pJVdp14S1taHsakpXcSGIvgi7ELN
IU4ISVif+lVb5LdgjOl5HIwkWTQFcOCpOg1GT+B+tB0RD0V3lYkBHm0DRKVyfYyb84qaZuoGPg0a
l+ctwBlxDf5JPsZ0XKcJlGhcAQxkLh2ysFxiFLGzIOKJ5ZAkKakbqch3x8ZPTGl0VWHfxH4XM4dG
ZTzKrIhH4wL5KVvgwg9MYNfmhYeHcFTLMMJd4CU2Czu5+ZzEdmTn8PgEtHT6LjJGWfeR8VcFh38M
hoxAjsg1Hh8CQdEyg94NaUeaa6uwB+XmdllfmU0OJinQPAECO6Nwt/woxPnXEad5eF4OWdovdGeO
0QWug/qOxcRcmb2f+VJgeHgXTd5z6mlrjID5BseZm9Iy0Y7ofC/CUfk17TrwLOIgbm+1aXXfiiqk
Zy3vAt8TiYmIzIUP65ipivtFXrX4euwLyt7r2sR3uIZIT3aWoYVT44H3XkuyODqrekK6ZQ4xH3kX
Gdz+lKNy83DGcalPeapDfdMPrBYOKjvAJuwgiHKVBqV7ARbM/kQFgqc7Ay1ZuZD56tWy1rZPbuKq
SZIPROQ2W/Ys7pqruq83zmc49DdmYli9p7oMvlqpTdanJ1k9nqKEby5+w3oH+gn4KjJ8zcwcrqIp
TbhVYaKS0bGTFkSnSIMkep9XHES+asArCOA90KmkzsN3JWZDlUtahAjg7qq+ucqMsNAyQk3ZL3oY
KkK9oS3JRmmAMDlwRaBAehtv/OQ6zz75cJ7nuWijSEgRmgk8F0NgrbqcAht9FQ8faN0jfRGAmxtf
qCJP4lsB1uJU5whfl3ZQfoUdVFYpQxZG5FyJwIZcUKiC1h0qXnbg4A70tCBwWx3I5Qz3SZqYN32j
kTor0dAmnzsrC/RZ5hvZj2G0NzokKtPQhThAUC8iQ6gXhZXZnw3kZ4usKwLIDDJQc0PVhR8iVesL
O0ti0zVJRQJQe3DStGxDYn+qYqMNvJTkICaj4VN7yXKFy3UGCnk4h9MNQTa6jcb2YtOAO9q3Y+uB
kenKC1w1xHJ8O61bsLS0ReB6l/Ffld3ad8YAbvr5aNcV/l7rfNAyw5i3y6gjsFSf4XB0WBdYwRKS
G2HnGIltLUbVtvVVP/D0Nm51KQXXZyzrW/Ns7CwAJ0FYj6dFmih1lVs9uzRqxJQXlnnWXgRDV4SO
MHUW3oEnor8jOwc1AqpTtzIJdael3bWiBCswlLdpUOLoC1YjFZBmBA9s+FjU1LBhMe1XXsiNJDg3
/KL7FgbIaJ2UaytZRjbC73tt+ONp1ZQ68qKxgYc0InVMb/okHc3rzCrSVJZFi6wrhkPWOwN4N9rr
wgJQ60QeBbIaeRZJoXXq4Z72ldumRFSnoyjh6U9YH3B38AekHb/QVvm5Mwd8F4cVPGtg6exP8KxD
Rie3cwwKlhR2vBBZaHWyb74S0XQCyyRp+UeT5GXndmZQsyvmp6L9UPrarsC4wxPtFREFNCFwGPrL
iNaJuuRVEdIb0qPUWvq9suG6+t4IrpLKKDo30z7oDPDGmvoqTX3gv7KTYKFDkYRu1yO0HEoGcj9A
3jySzA/51YNX+lR+uHmeP3+ey3ie2piTI7mK7iul1Y96miTZWuj/80zKvmIIRBIvF0Oen7n9PA3z
VEgB2p9Jlc0J0pvpKdTGGMremwDqV1IFNvzAKQE/ixsWxCb/qYlgBDVyG2bMc8i7bCbS/qyJcJhq
KiDdQ6zHeon9mqQKxHKTAMmEqsrDsESI/eFnk9l5HnrYGR/tHFKu79I2AvfXqUqFztMes/N8hGjB
ia3s4xAHUD7ojUuRQ/QWm1kru9hyw9xAEtfxXR/UF4nob1vUXw4+lA+K0LIlSAaouGgEz7H+1GXD
Nc/o0owsSVNfyVLod0Xfn1tFYzl9Vi6jMe1kpjX4gJD79Lndn1aU/qAiqJ1Ol7lEUTI4IEbEqxKj
lKNgiyaOhcNS8KhtHX4dLMgs6pQNnl0PmYuq4o5ZkBtmjUEcyFE4tBiRM3S1ZEHZOlXuf05t7NbE
glqH1q4Zdd+sJpGxX2YuHHN3D/nMyGmt6IsFVkpCbmVJewEmK+ISfLEvVsBOBS9Gx+/oIhSVIanO
zojVmm6rxJnus8wdWFuBC9N/G5T/Lav7d0iFpTQhPxUhO3IylpwmSb8UEGQvcN9VkGkxlBRB8T1A
zHR7nH8plBlLGrbU9Zt6bflkvNbJsIoK079ozAiCQZNkMgwsz8gF/kA0r1wGoYQTbYyO0r192nXJ
BTbL9quw24rKBipzCwhpnZHxyGM+V4t0oMhJIbLwRBgiGdijkg3J9dWARO8mkAVaCChvuH5qDE4N
pTooACShZ0QQ7gwo8r0c6egiQio9FXZX3xKzHT9BaSt0FQIXIdEpuoLEP1+MXZJ8VRUkoSPOrS+t
zrIPusLlTWiRaClw1V+Wtk/ddkjVOZjwqpEGY/Gl3+XFxoPtL5tqTIkcM+R/60VkCFC5RrnMCXqf
KBt7YdgVH9EAN/7Uh7zdX0ZsBz+YSBsvswl4YfXQeIkQzpBBLU3HRSPbsYbnpgLfUJOrehjhrnde
2QWXOi+/ghtvO0bZXFdh3p35ft0vOGohu02VveBm2ErWF9esJvWizBBkOaraK7F9AaFPIJM0As+Q
jpt42c7dkSXYVVhELs8GtFANDQuPRLec5hCdQi3mSsEhmhdJE7SfbAiglhb0b8gQfIxTQ+Sjo43q
R0984wz8a7cXQ/SYiPi7Vf7/njLHkNZ6WZn/PMh3V5Fv6H4pcgopcNjJZ23yNDD7HxTpL0UO2XGo
XptQQwdVvylT/1TkmyGmUPI2Nx0SoMUf6t5PihxayaHiDkmpzaowQQ3S7T/LA1vGGYr6T78/L25P
81yQgqawB2GzuQyeYlDo22q8boauhMxAd9Og8wC09vBB6f+SaoVTxrZsBVwFnLvNob3SgrGdkL/Z
nOX63FZgo6JxnOjihnZ2jLRkpk4SGVKS05sQQf3RLZXVJ+9HFVniepOo+lIFnCTvYarJ4IQo6wmI
dOFoiFTKEPwgP/UsGnljhAfZjNQZhvTGh7xQqgzIX9lnRqlua1QEcgixN5b8Qx/pM3AnQd1lEGZF
NXZNVp6Dv/TOEMm3dEhWhu9D9qZYxmn8ZYCKnjNG4bug1p4g6ZKH4OXivvpRNRz82qhz05Lx06iE
iMbIcCrBzz4r2yJxGh5/hIJmSbUDl/clsNAS/FvQw7g4L/t8nUKWW/o9k8WQrf0CivkiK6BAj3oB
hdZqUaTNpV/zzhU5KNyqI1D25ehbr/NzyozMxSy/a3FwDnmuj1UfppJE9eckG7QTDt29ttj5wKp8
UcbFVR72nWuXnIKB8k3HV9Ut9FhXEG9ACTsY6FUW5JVTa/o+7ezAGdvmixFTULTg+JuEZ1KQ+gdU
5lJHRERJXqqbXLEL3lXMK1gZyTQp4zMLUtoSXPLA6eMm96KCFBK3IpGsGD9jyCdSgFOqxvhgdkYu
M5LedZldSFskX42yYpJ0xRICuPg6rTvshEZyrg2IBxAumcQiuAzqexqrhQ3mPso64rC+1I6d5p/9
sWWOX4rcVQE+r0RTuXXLT0du3hdR30G6sLpoOLsXEGm4Io5+iIy3TsAgiVjW9l1QWj9Y1EGMHK2j
0uwcrOOzkEANH4OxVkF20xL9DccxZJ9YDTY6yZdpBHkX1taLSECCqqFgCpmuO48ZyHbMvLlpbONj
GzTaMdJ6GdKw8jALb4O+Ll3Fg8bJfeqlrKq8NuDeqAA/W8S3hLZO0oJJ6O32c4JGS0aD9SOO7b9M
nCiI3wmFAnbiS8MPk6s8SysniKPCAb3yMYAgKWdmAaV8+i5IOXdDBQkS3Pd/tXEKT09XNp7o4H5w
Pn5N/i97Z9ZcKY5t4V9EB6OAx8twRs92enohnGlbEiCJQQjBr7+LrFtVmVVd3VH3ufqhI7qdmcf2
4Yi91/rWglQPxLh1Zmr5EXoz2ZnB/dLQ9svIpZ9ZB/cYQ/WliJ1P7SQvTrKEGWlYjofbjDC/K6wb
ZbwS5Zc6WJpj5+PqL+dw6KtDh99GuqZe/xDRec0q0uAqT9vmC+yg9Bittr4hwfzQ9/7BWbsPASuf
N12btap7xwLf6yzmtJx0wnfNrM/TwOunMNRFS6o2H8mjTEu7X9hSXwhQItxx7oapTiEL123Pi0pA
9DRzcnZiqwpIrCof2yjKVly/NOj2VgWX4RiJPB6cvROPeYfPJsaj7mpU8TNLog/uwvLD+tNn4ert
RNvlhi1n+JRvjp3Os+YnEU0vdArr7cy5G6RXAtS5U15wnD3nblnigjj00W/Iy5hEuF+753SmG3Bx
Aynsch31bp0a7OHL+2SgH7K4LppRNyXUgrzpMSmPA6z+JNoNnbmKY1UOfdNmwboWjEdzplLAGHXi
ZJXjXC96eBQ8bcrKH0FSMXAq9skZP6IJV6Ih8S4I61jklZxbkaXVzGVeT4vjlK5Z4seYGrvv+8HP
a2ox4yad7q6aIHgWKnTuYWiUsZGQXdsa51bWqLBbMhGtwV4vasiTFptjEojHph93QI6e57l9HHvn
xRWw/N0pWm9ww+t3Q9u/9b53ZEPwbqvkGuLnVdqmtJAi4ZhloWTy3iS5U7d8J1aRPoTQGy+pYPec
0q+1Pzj53EzteViXuOyEBjIj3SUPNXuRPt7FmT1wruoiDZzTZMbnCTrBfeIEYlc5WAg6fH+Z4bj3
QHzCGTA5LSnGqVuvHZ04D6QOlmJZ0rmkAxAIfMrHpyodpyLUMWwMOSVF3+oiJMYcjKfnfeUP0N2F
WvazdFlu2i4FANJwfNh5dJixExzGxkAo03djyPKeePvahCZTTgX+JgDFRbyHLlLPg2fvaTSQYxpO
zyqdFRaLtbr6YRb5N3f2nx3O7zfd7UGA2x3XT/BAoj/c2Uk7dUih9tONSuaSeNd18kDwXUdYeurw
6T+/1s9TxPZa8O9h82FTRaoR/fk/3+DHUVntz+N8k1Rl1Tz2y445/8XP/G8vsX39B+cUNmHbzlM7
33T4YAIEy5h5Dbv7/8fPAS8NQiLBjLXRhj++yMiwU9Vynm+C4aFXF9YBnnL8zy/x57cFv6ofXoL8
/BJ6gqjohXa+CZN70e9WoUtMITJ+q5f/8ko/m4P/96b88Erbd/LDb6xlJhJE44fplzXzJMmZf5rE
5WxKI06rWP+LZbp9479b27+8HAxnPOfdhWgRbTzHjy+naW3XQXvzTds/exqOInmg7LyI5++/v392
DRcfmr/eNeBzTuPbnzeN7W/9tmngGXNoDMBnEHgJ7C28A79tGgi/4C3COQB8NcSk/9umgT79EDlj
kDZwur73zPwuGSX/AqKAvSWAXLohtn9r0/DjP0tGMR4Rvi06+BaS793PP14hFgINPIQqvG7WLl6O
mCJE8NWwQFfX0KcDIS4d+KGHpIrb3JnY/RLSMGtI2BXSn6AYVYRnOAeackp1WOBe7h7cuamLxAZD
Phn15i0rzSFtvK39aAsRgCcZRnJuBYU9UNU3dQ9Rllb4xIkxzEwCYThZVvfAUzIWzeRV8E4baFSO
MCUbdFswgjlE4pj3Yv5kPHLLA7knrRhyZQtpVmwAes6MK1xwiOp2BTyniDqOGDQy3ip4XtqheQqp
OuPD+pbWwy0hvYvF0ieg5vwb39Xt5RSuagc3SBZ+1SoYsf1nUNG3qZ50Lpy41MvHbP2ogBldGieg
RSvkpfXDp05S8JXJ3B3CEfb7EMxd3nQeywLlAMZJ0iH3jD0HK69Lf1g/pqTaTcqcvXTeezGcrU7t
x2AsB4xOfu0ZWK5YYQYTfOgUdMAMSDB1M38NLuSyHtYILvJEqwGTi86N4A/J1MqibbuDAMhjVf3Q
pk6htbztBvfMnCmH/AwTIxK3Bm/pJEKAJ5YPcq8dL9klpDt5kfgqRwbWNq4uXJNewFKUUOYqSU5J
4A+3nnW76rUeWuqXY6CovHVWvXR74ckFTG/jPi9rnaqMmOabHwU7y4YZOv/0DcLeLvax18wJvsyn
+aMPvTGvIWtlwtiDXthVKKukdGa77HrNPmeHDJivlhfipg96tbee8V4Bnpxctb5wU6c5icagjGn4
zn17ml26vLasb8BFdEA9AgmEEZhB5ALcjIZb+C2HeEicCwAQDwvHj4XdDhQ2Ta4rO/I8YStAyKiY
mG4wDJG01GRxD2v86dUqhHuoH42GdSS60C9aWJkNTYN95HCQCWA8Oi8qBshruaPYN9r0a95Oy7pL
ZqDh9UL3vjO+8FkdFD42uUykzWDlYpccV/CxEjsabBI7hxUoYedmqZznQbsQVQOvqP36S1QxCiPY
j8FHg04FWQLj49DGTQzuWJ1kNM5YpTtomkmUMdJ8jkxfdyJ8M2N1QVqQsc1SXwEROndQIDOi0jMm
0TjzA6w6NeTFgXGW1drM+97CL9Es8DI/RTi0SV5WjL6ijY7uSF+CJujuV4ewzGEJaBI/+hI77N4C
dnfT+blnIT92LD2utj9XNOnOlRqfia32oLDuHUKwhCXXTjreMpd8dOF6JcRwaBSuzZVAses8ORVA
Uu6MUfsGLh6d+H6oWVo2NpVYZC15Hc14ZH493VWJYaBI2p2w85nosSn/ubW5W0DEw53or29tl2/v
H8O/ubVtf+vXWxvSQC4emxvhkQJRGuMJET/c2rbH+eCmtmWJkA4k+NKvbggsD7QqJQmezZf8wpH+
5oaQf+GZXlvdAh7I+v15bn9HREOl3k/DDxIiyZYtxkNpfJguQF3/MNU5rreMvvbodZWKXbyAlNHj
d6p6uAp0+9Q1TtZZnRYrX05xtYi9FPSyVdMBJTAfoWP6fE6jnAXzmKu4PcPVq7I1raHhGKBEjnMr
OQc3qbA3JaJ9hAXQZBVP0zLk3Tdvgqyrk+lKTyCSPPOCOxQOkQYqjq4zMM6vJG0LB6zSIxh09yCr
5kzFXIELikyBb1vtpolfKZAsGfX8l6mNZdHz0GZjEI4FzsUQzFH1aebxI2gjkq0oGS0ThZMGPue9
atitpfJtdedHZ+khaRBqchXxtWyc6BQBsC0mwvAbSNmCKIX6mkT1NxYPVwJIMTQu/IgTXIFy7Lwb
p4VR1NJL1a3nWnGzrwfkOkbu30R1feNuRBnnwPPnRNu8JWGyx3xgwOLM36qxHvPWmzhc5KTdrSxa
itatH4xZbvi04q7oaij3QRtfQIG6H0VVCOEh7zEPu7oNReGk65m16Ylpe+4Uc3NgRhArtTlSD9kc
qpA+IQlVULOAGTl8TIqUueuXESjZIVXRBPEirnMKNewEB6HepY19d8yynKhhXu5KlxajqJN9MCcO
+J/ggvTesQ+TbrdMVXW7OBJiD7Sp3UJdF/OBwH7pAFOSk2S3ijh7tWkXPIYH078ubrfuRxqIrO2Y
2DU05gDbwl0shx4cnFkORFYIXvQQbGIZZzCjvwEPFDkQVZq1TijKVlpb4Ph9beMZsYqhu4QgsxT4
Rxec93xXc2kLFxwBrzxdGknGk+/3d00VsyL2jS1qG+GCnOLoyh3D4DCAAMvptH6bBjfIunGCmeeE
gMoameZTpeIDr31TrEtyGYswxeBGPqB1QOhIPdDZWoJMw6UchbUtqOHtrqNLknsOuZcseDVxU0MC
HHENJXF70KOFLETnewfJrCMQlW8gfiVYwAqhECqTwp0MLuM0vgHdZbM+bMODI6KXtPa/uo3ax47V
pW/HS0c4HX7PCXSfGV4L678uabjgzY/7uJBjSm7dZdXhyVvxgGeT4eLlpd14xGD+QGziyVJ85v0G
JG07YUwFprNbAh3cxLN4gfk0FlXCkZUa9YR41PJoKdE5qeahBKyUJXPaFErpJW8a9ZSoaQYRC6KI
K5lVAx8yDwbdGRJ5D+eT1dkSyYdVVdcD6S4mm47FpOQn1z00RAYvKzmbxL1ddX1eV7b3G3FiDrt0
a9zwFdzYLGynEBheeOcqYgoP/+6ut945CZo5j4FrQaT0gdzhG0dea5zDs+u4nwR0JZzD7WgKS1WJ
5aSc5c13F5r1no6y3mII5oshJ77qXWKprSYYWlo/SfilCjMZbrxQdgd1H8zT+KisnV9s5XdNRtzR
DIeAJ9ErbVR00iOgiZuWtjQ56t4JXytK/OqyjnizF2mjiymtnkBrkDKyPi6NirZlhevlEKrGlHO9
tvmM666MYBFnuApfpnA6rI3wt+3hwMhaIXaGAXzmVGapqm6Tdb22EoM2FuI1d6D6toQ2XyYEU0vR
wXQemtYvJ1p/0iG+HQhGBGeOdguaww6wDdo87uK7INXvYjGPfaTWHT7F+6QaHtd0YlnvrjdpyM9T
s0R517lvnsU5ruR8Xc/izpu9Nte6Gg9963Bca9U12Hk/XzTsEQcLNYDP2WuOUvkGB5d8i5VhZeBP
Qx4TfsGb+qufzDgN7Fcb+zvZLx2m/mhfhQBnaWuaDHjMA8x1aRRCichSIXCHpQUzjmOSa+pFfGeW
+pMEDIKAPlYygArZ8tIToQfxXQJzNX2QxWK+F2tgC1bh9BuEoDsZdEm2LFoA5+SlVnaFZS32gIu8
XMxqzmDB3vE6Sot2iC+qrr9Ro8vzfp6Bi0J865l/FTIPfjl1dtEwQNKP5WND4GmJ/gpbosyVS57q
xHyrZwJM3LbnubMqM1afK1gLUZ9kuuPXS6QAHmty6iq4+FPd7QD/HLsxeXWDhO8DV9GcOMrLJuFd
yIAHebSYDLGkAoTFfZw2QQaz7QM+67CbVxy2QaLPtUD8QgBaxB+0u4EMp1AnWC05Unh8iI9wunA+
Y2RtzJo1Dr8HaPPWT/HR7/H/6eXCKOexCfBWu0lfDpPSOG7MTnj0o07TQ4QsnnLw1apLPrWp37vR
Owuf7f+ZJzFPbk8k+U/z5P+0yF69/2mg/OWv/TpQbl3o25NAE6ArmA9jKH0/aCWQPFC7GiAJDL8W
X/p9oExhY+JZCeBvYL9uX/odr8EQGiA0QKCAfldY/oYrC6TujwNlDD+WwJCNgfW6uJR+VtNwiPbp
lLDpusZ2eUraNLwcpD0nsu3zaBoeCRiRvtbNQWJeXD+Ygv5+OyFouvQrdkvPtrcp62Smm+VW0/Ck
RqF2fTvyzFtx/ceN5+x5a8Is7NiOwnw6AvB2MbsgkTjOI2V5anq5EzGW1vuFdi+Y3VTmwOHNYlC2
SCP6Y3gy1llPUSctAKBl4wqmtimWjTTQQA5oCvaAbxTC4inwCF6THtuNUeg2WsHfuIXkF4LhvvuO
NCQb3dBtnIMZHLeIN/ZBbRREu/EQPkFseQAi0XxnJaiXRxr0RASMItl4CrORFaZdLWwy0Bbjxl0M
83jlbSSGBpIxAM1YgGgwF+MNkA03pOd5Yzj0RnNw+MNY/5Mct6iplBvzQStHl3gx+lnNirxCaTDV
ro96nDMIoGCDH71DOkx3sN7uk9qV07HDnKtvuSf7Q9R3uewZOeCmP8p7ot0UyslUxSYL4ircB95s
6iyqos+mmuYjMq7TfpJNU6xC3iz1eIXB9iRbdtW7/jnRzk6N88kRpFArcL6Na6qRtOXd+yz9O67T
l38Oj+/LqPsfmY7/aTsuP/6NzvoD0YFlFOWtASo6t2dg4Yz44ez4XmQQ4T+/pBpxUP16dkBMBT8e
uKA9UO1INnX017Mj+VcAlwb7Yxqk6PgFS/d3zo4/pYKgrPpItgUbahEi3bbpsD8I/xhU5roOkvba
8foXyjGcrVP71VuiY+sJmdUERBCi7HEkMteArAroRbr0V3MigHrPQOoEBykxUScf4snf0cjduSq4
n7nxyyRWU27ocuHqCnbnZsRCqOKJ32H1ai9YBLvVOJCKmvFNEKABkxe+Vz6H3+oImtPInm1i3iG2
IvHb4IOIU7gki4kyb5Fr6cKjg6wVWewfGMriKZ3ycHFJrpVcdlItN/4Czcyn7XmyUZCBkX0OkHcq
gC6/Y2A4IQrXFQAtMNGbsckEDbKIIR4m4/QG3vSTqVaKTznWZ8acOWtjjf9Jap6vtPMzTDYYEKtj
QPVuiVWV9YCHQSjYx5XRSx3Lc1d1Z4afCeM0hnPh+3czb2CZU1E20r+sPP+hWlqNc2gSCP0HWNpH
gzxVA0E2xIokgoXnVdI9JRHcTYIZGjt7ZHpO77Vfd68g9h+XNZzPeuMcAz3uW2/GBtUPr5YCy5aY
g7uZgE2M4BrOOJOnoPIzViWXjPqPQY/c9MSBteAZm2XTTGvhRyst1xREPB1SrI9qugsc9h4Bptwj
HZB7YP7Pirxp+4ZgxC7syNu4BGqP6XkPT4KWQzcL9Zh6TN63LgTiD07X99myuxULdRlPnUJKfGBJ
8jZ49VWF6/voaukeYAmqa3+o0utQVONpSas8THGyzjE56GFBRQLDRMjCdLkK6hWWMldi3iNX9TTL
uYg5PPPAqg+w1v4BU1zaZwOBaJr9c879cs7hY//XohsSQfrfHXP4Sz+MSHjw/fYQx9+EtR9GJDdG
FwoeKhLDIPKh1P3fMbc9lSLyQASnvzSvbHDyr8ccnhqIjCLmmigKYs9Nw79zzIGD/tOIBKCZICSO
9kYURv1RczOdhcRGWXA92tDNV2uO8xL2hVcHAKdIv1NYlNCIsjzFcDAgaoTfhiC50KgLKKItfVFb
3IX1wM56Vm4mXQn7yR2yZO2mwo7myg5whcIUnr9SEzQB+cLApyASdNeE9V4u+gQ58K7vIA3V/QKU
GCMR5hP/QgqEm6gTQxhKIQqkQiMXUX0BFv0UIfSFCo3V5sSK64gG195MyrRXp7jtjw0Qi+NqKrhZ
DbZbw+weAfHST7pPjGl300yjk6TVHs0FXxO+AF5eHy0Gu6zxseEGCFhlJBSyCLoqdy0O6rhjj7M3
vTYWqBRr2MGHXABhJsbRxZDU06jQyHkXXDWiP7VNGGTzMHz2UKuAAiksxW1yzcWAshnaX9eR6U5W
aIQZOIpcYqEaKG0D/C2XVlcjUW6B8BzgpT5cPxPfNFcmjL+tHL/crhLs1kdUImPj8MEwCl3Wqj1G
qYOogt8teybH5HrkVkCrmvGuTSzMBqpp3kBrR3xKMhBLHtmDiKYZGZA0CW1Mb10aePu1g7DRU96i
FyegUGXAU3AR0NJd2voQBLYFbsz9fc22yPOKAC+xCNigueIgqsoD7rXgpAtHvgvhNe3COWjLQWh/
r1UgShnUFxjnztBUrhvpHfVC14KL5LNaa5KBsQlLZ+RBsUxLXXpVvOyB4balWzMAfaG3YH7s072u
QfXWdpj2qY+Yi4DWVrgIiN3hNEz2Uxdhrffc+uC6wBCNaQOs+4Fz26JDPBMrftLeElBhxCW7hDoa
Ds+M9VvRrnQQO0OOpOGnCC0oe+qzh8Ufb6BEyZIB38qU7r6qFjgMZwRRxz4NT12KuwT1tqj+uv2K
uC9f5zGqv0hk7LKRpfKwTOgl8C3WfXhx3nUE0DxjHeQTjt97FgzOdEhmnNlsDtFrFE/8vRHA2906
rsC2Cefg6no3RVBnKoniFKRtMpECPoRtDbAwrEFn13NSDJ1oc2Jqcrt69ra20x2ZBZRguJE8b/32
CtKqPiDI9anl+lV7hu10501Zm7bDJUcoJw8sgcTQkyNZZlhPTmygvsjwznemR54q7RSunuAHMd96
HnzA7tuM7ypeHQjorG6hJbIemury4DmzB6mKkhw+5EnCoS3nefGy1EzYWqA6dsh1wyGlJZfSOTkh
fOMg+GLQ2AIZkj2Ivj7FtbyZwZY5Tnw5Rq9V7J8nCG3PEIo+ZqIvbOg4mcRtskjmab6YkMg8pOkm
0g+YSGjjXvh4NdaxszHhZ48AY+6t7aU7u15m0vhxTZA/5/UK6WMU72OMUDoyq0dVL7do7LiA9Y3A
9Eb8g7CCn8U9IIWGIQ6wKAsSKobvhj8uR0xr8RhAxlrwFnq9uJ4cet/a6tVV00sX4nhI3M4UcTOc
+ey92YaQcmzAeJpR0Z03eaDOA4T2Q4CM9QjNaPUgQ4/mEmb000Sg2MdOeJPaOMmUiOURuRT8SQ3u
cGpak3danafaPSDrJHMTVrvaVf01R/oiA37rZo5NC22HjxEMYRYZwH3MJy9Yk0RUKmkvpa+/qTA+
yil6hvISHbnwsnpYvyKYjfixsgf80O2O+WCdhLeCIIyvWI1TJlUOqmnmvEkRljDKAyhMDiCg4Xly
hNj5fIuesIvWH0Ga8farTtJDLIMrj3Z7J+z3FLFjvKe5bT387+iNJZznI58+Rx4De5mhkavlqDef
e9oYhrC5RVTUwb1gyttgOTPd3gpY5B5nDy0sc0bkId489Almest1jpzekMlqjDMBw71CFJ6DvnVH
ODEw5LGKfFQTfG/cx5xlPyb+mKDqCiIkJfLO5cBK/5mNvs9GG//y17PR5cfw7eP9zzvg9rd+G46w
6EXA2n/Y5n4bjvD0DpRuoI8hjT0kWiDt/LoDxv+C24ilEVQWJiT0mP4+HMGQhOKERwLgwQB4qu7f
G458/2ca67shGRM/hMuNPk0CvufnHTBw/BlMbdNce26oh1Oqeefm3IjQgcmA3ptSkEEs8O/r/taL
m2LyxXEdxMEej26F6WZzotDLUevkEeFftCNw8wDwaDi7tlXsudrEaaJlA0Mi9HOEDqFcA8WJagw7
nR8B6IC+rZrl2jqtydDa+4YPTpRHQ3PuoIkjFcqwaA2PFmo5kMh1NyVYstz5nUBP7wKFfyBYuwO1
0Q4VBwqASwodq/40avBLUQuS6U2i72bdfKmg2jthgMPZXXTeoPEtgbI/i1pmZBP76Sb72yE5GLLt
eA3iOMR/CTeLYFZI9ZjNNlCqN2W6WQkogmjLdIgT9JhVcAF69jw1vS5k1DWYx1CftXYuGsWYbGFv
BQ4aAIlmBzZWKAHsOy8OMj92lsy2TntAKKorMS9G+9Hz2rPbS3oX69g+ETPQTMXA8EbLo2ts0H5O
Pe5dIYGEpEDo3zCpEFMfoUqRPtZoAajHHVNI5GZG4KX9OgGu2usDsnUQ3xnQk8V4KMQCKD6eam+Q
t8h9BeekG0Lks9NlpPgeZM9PYewQFAw2o9Ps/LlBgQ/kwK9eH4TFNDkA/ev6kqEubKoS+MoNQhMS
2TwgqjsXKE9YpzhBv99RgqH5gIn91I/NhXLhbooYCxzMizyOoktsm5ejg+QAE7yIuvbOMnnq/OHF
d5qLeubI8vniIaBsLjVLvoXwCHwaX0lhsfkzHTewfBful0BGghpeMavXSy9yIXw1c9l0NaT6EMWA
zcKOk6jqDHC6zCw01VKs9NtqZ55VGPJgO2PYV5hisyiVLA+H6FuEwzKLQrfJra/HImC2nDy9pau+
gNW3xaJlVHBjaiRLuiCrqvBKYzApkEeB/0MRqnUTEE8cf7LGv8u8tIwXpJobdzP9o7RBXQRyZAvj
pnCtexVHs1s2A8xStD+NJ9fVZ8IteKsI5hJvR8Aswn8l1sNQsqh7JDA4Cg3nFLwz7gV9A88EFhlg
rDCFgR5/iIq+typpUVoHA6legI079Q0qa2ZcA37puVOcY2RBL4U3oFRSzekuwaXveiHgaxeCZlFF
mnJ4TGqFdVfHqjnJUauHf+4fv+zWkPz++v6BzrQ3PMz5bfzzLWTTCn+8hWxN1nAMAhf/hf32t1uI
+y88+wk5Xdwn0G+6KXi/3kLwcN/tsb4ueolQq/STjIhHsm+rMPJiaC3a/Im/tV9vuOgPQO92CwH3
iVsRwWWFZ4DHf7AgJE2wiJhEXbtuSw/gJvcMLjmGjxmxGrNAJ/fHCzv5CiYbogGpnW5kDaM3kOLr
EPqqGJ0RHimLyjQYlpzOJAB5zvocy92KC3b2CwYOH+cNWQtQeOKmp+kTi1ZUMyLBm1t3PaMc42KI
wkOiUqxsDtvD4nyqwGDka59crsMCAQrO72Fq9YmKus+aMDqtCQfIEsaXuEF+oRG0fc2T23TGbU4O
HG2rw5sfhcD1IvpoRNRlM7qq0M6CdBD8vEsi4ydbocQD4ezntFVPxJpz2ngXc9w+OJG41CAuc/Q1
fJFDhWHVQ+9ONZ/jNbyTst551Hnxuc1pT3codo2htXYXXaye/YRcBUzUGYvs3licFLgo3nSLukRp
WwBusS45AacC86YtgsESFNP0S5kkEvcoUCyoXhLXA1BQ2MLBQTGfZ2jqvJpbnNV0nb09kge7Gr6r
bXByRY0nc8dfb4KKfPN199BMyw6lA+AWqLyxIdktTBw5OjwQmh5vyBR/YX1FEe1angmH7MnnqCug
AjV5K7naBXwZAeLGkEzW28HKeOex9mS99oOtAh0Q2v9C2OChs8KvcgB/17WJ/au2ig82ofc93N4j
Qesr+p7OZEEkA/XQOx4bqJg9+hn0Wpc60GY/TMkzI9iWpx6BpFbxPTRrmTVCfWtioopaQzmEzbpr
E7QvuBBk9HIAfFBDvK2/DkPwAUzrA4oOPdA+vKJorrCmRxLQNaKslzZ8DKIGJT1LgrWl4gjs98j1
kGMbeaiDYbshoagMRVNQuVhEY3xKln3yXeOU0aTL2Ti3vJvf07WZhxz3kTp30b+69uGYxbo/hU7v
5z06WlOy9X76uC/JJE4K8GsHf6t1VYN9Q4fNAyLPhRlF6W6uGy5dXEfpk8KtLgcBZO4hHfQlT6kt
m3iCq4eeBqyCqJQFoos0YdTepQZdfH4VZGhaO8qUXFRm9DDdoJq2pTU+FzGiywkSSrtgq7BFht/d
ga5qcxdlGOfFx3iAxttgq77V6MBNtjLcrXcN3jl+FobgQO6saDIN0b1K3fVaKXxS6q1YF6GpmwpN
u0y4btFt5bukxi9QkleNVt5R3fIw7LIBhb1JIqqjJerKVgjpG5T6pr56D8cWrbKo+xWh6Mq4GZvC
sU5TdFsr8BwhCRX2ES3Y6uxR2lqvr/5WIzxc1PVxRLUwV/0CnBuXgRHV27I10fhLf1ltjcQS1cS2
Cw/SA2+2oLTYoc1HM+Ej40uFaxvFxmMKg2NrOk5RrYZGj/YBDWef6VaHTC2uO/Bh+1BJWobIQWVO
h/pVQ3t54fg2uvTQrexwEArWoDEo2YqX43StCruVMYPhUjkdkOlks7k0Q5PgZo3sZ5vyezbgao5C
6h2HtmbIzuMdR48Q2viW9VZVHYEvC55gFGbNO7REB/0wQSHCB4utPYJ/BmXSMAcr8Bq6LlSvwwPi
9pD12KlB7RZcgP5WhMG5RTu1W7kP1VZ+6vnmVG11qMiQYaIY/5e981qOHLm26K/cH4ACLmFeYcqw
DL19QbAdvPf4+rvQrZ4hqVZ3KPSqB0UoZoZEEQVknjxn77XLpkmAJyjNU2qj4PWNtjASt+2TQ99T
BLvdoOUqXN8A3VQSt7j+w0g//q8m+F4T6L+dK/7IbXNem08Eyv1rXbD+8M+64LvW1dRxcOi2uSKN
3tUF7PhsyitZ8fug8K+6QPwD8xUnTnAc8CVlnVPnz747BnRDhaOvaRQHKr/2P6kL8Je8rwpgiyDF
hc6qYhw3ND7d2+GiFtEng5Khn6P8ZWnP0/Rj7gzV5deGdH31yn+4Aih4hLTocpkXgNF7f4U+aPUO
DnB/hubmq2r1ba509pHkRjTdNzhFXpM0scfDTq9fKvaMQnfgjOi4VMgzJaMEPa1tC7PZSa18l7Ck
6231RcqAAapri6yZXEyXzESj7BKFv0iP2tDVeGdzFhdnlWeF3ERXRHU+b7RyXiCLyGI/cb77Ngr5
pGlAfDghxCaLepx9qdWVUwEwzNdblfJIDqWnBJS6Z6f65z6a8k2nmKGrp0BNMV6UNF6tS1Rjkp9Z
zZPdhJqvqBzqKl0frxJYyTTyy26j4Jl3oGEdhiZ+SVX1CPLFs+18Po7hUO+yotwVRbd4DWjFQGRb
TB4nmrSasyzFiySPDFT16VueSpfdhAECnjNnbN3yUKfemknuSHK112r7JZUlsIH9RYcXHWXJfD2l
1kWyTAUlReMpXXpRm+ZroAyjw2q3C2lf9Wn82gHLY3VDPyKsHfvNpQTzkvMHEjH1GSDchd2bu7wW
R72oMSqowynjlGrkGuPEesexnDGIbj8kKAbR52VXTcA0oV0YxsTyc1WrHR6/hN1Uv+syTkVMcFKc
sPotBpzSjdqJDpsV72ecv45IsPkGibHFyd06pZG+9Lrtj3Lj8l2sgv1u2IBJucCe5tr68KiXmjtG
4my0GHW75TKN9ZsoDwrOu/nW1IdTNDb7ch734ZQ8RgMqx9wed9kwHiM1uzWUEnF3kj0COXmg3/9o
BP2mbLCrLAJqY/Ni6B2bX2dvJa19LvnjEcVOW2levqSZ6c9m5DaB8LR0OlZjYlHm4OHR54JfatFJ
1c3ACQ3zhbcA+W3yHAbrybalmS71PY9N/W0uk53VJb6uVS+rwlGS5NsWUaOTBok3TLYri+zTkgbX
Ka1PgObhMYUgvKWHiSdfMu8i4H511UduGIeUY3n+yVY40EpVNPgW5vmTtcIGYipRT6qUwRPGbWLr
Tz3Y2o0EsAu58fr2JOOtrCQHqUcHqNa0UEU9NRQx4may8Dz1M77dAYPOWlO0vp0h0lZ1eC9ja5xD
0Dl+LIwHGTk1iILA+gS0EM8Vkjz6spXR834D/W/dfJbwnyTxEDOOi41jXRlQ/rkV2PErrEUSepmE
hpQHDL2BNSrJfrdQvkD1TW9Ky4CqnveYUJh8WBHs265uDh00nUqvWtrHcBgUjR1aUet2h2wj8cO4
PxpKiNwyrYqtsiCmhIboL5OKglDPKr/s1moqj7NLk2k4tbHUXrP5h24QVJ/FMj80gfZqpuh/NOWU
oHB0bfT73pxJxyCFn69kisDUJiZGCWV+W4pe4lU1g+yxT4ubcaC3QrfvUmdez8riNonuMUwlOqIq
DgiSWRARHyjm2qmmH18hSWeNugjx30MeJCwAZdbSHbNE2kYC5W8mP6bN4GrgPUYb5HwxpS96Egin
pd08WoEB2FCenECPzU/VCO9owTsHFwzc6V2q5OMG//RWM8uYyVltuZG1pGA34ua0WOlZU6tdirdG
qQ2U94yYphzC+zIKjyVvrypB74ekJuyzebg3pOouV3NcYE6feehPIh+iUg42oe/xUhnlS7FSFtBE
f6vbSGaeRmgDl9OZERn6ZallnCHn1MSLnUTDttDzecvSHz0GNVdQ++yuyLWYkke2L/q5SS6yJDwX
tjBAwmnWnoFq5OileSdqqMOOzkEV9QZIg1kPgg0DpjsjmO+sQixPoGyZPfVluxF9qDjmOG262ZK2
lTxQvs81I11+0GEI2T81cWZtVqIO9quY6QCt/26nDwVf8VhtNCsHtJaXz8ZQ7Ysx3kzm7PctJ+rZ
vEjr+V6OEn+IISyWVXTfZyqOuto+gHob0IcmjVcGGeiqPgF4KcvPnPo1T5v0+qk3KsWrSpqHacSD
bjLWQvSmPamT3d0GqphIKJBsHP/y/GMk8G+3Z/Fuc7ZW8SNGb0oNe1Ur0cV+vzmreW5A1koK6K50
e6dlL4zxemzazZuGydUP2/BbLM2qpHxTBPy8ji5MYWrI6v+lCACijKkwKs55lp1aQ71nVbqy8vyF
5bIB7bGqQeZsN0wVB8F016rRMRpUkCXFgZXqKILWSez0OgqYKNayr0UgI+2Og3PwtewNWqW8Avpi
nQ05pFz7q9fzi4/+y0+OE4iTsS40NGLv75DI+xI1XgojGTlVON/JCVDZ8kcV/W+/Bvt9c4b7g/RC
hyCObIx7xIP+/iptj1EjT8HIg5Ft0WXqe61kYZADkAzJMAg/kIYnAOfldWHzDCKJHq1xVS1VLFQa
FoEkx6O/9Nd9pNm3BbtSXw5nfEwZb8nIVq7CmRRleI4xHE6B4J6rvDdGjhhptsVyI5TsNe0yV8nC
eLuMNQYHxfAjCCl+2mmfpUZFmdmsc6+aPoZuK25Za8zgm9RhK6K0iYx9vahfY918nVCV9pylncnM
TvOCQtIE0I43akxOclTlzjKhpQ+VLkZhkJjMz8KHoFfyu3rknGgr4VHk68nOqLqdgcBzKNniFBq3
M5R/v5LVS1xbBYc0xAOKlh0D+bUHAifMPevisyWByDBHZTcn+nO2onmLqlicilGchgp10Sk9ELim
HgCX0pukfNd0uWCwOF308vCagr/7PGdiKxvg38wsOqnlArajrTex1uKAUaeb3DCys82gXjGW6VCb
7Q/m4r99HJRfPg+8kBaPgyUr9qrIeVuWBxqMXv5ddzYV9VWz29xbqiE7G1LdOqynL2EriP1oI1cx
Js+Ks8ZhRT1xVwC1RKm5I8fl1EHQHRf1JErrSdOLaNPmosYaJmMZEWhpQug3uKYHy5dLHWAdm7o3
Arn1sJBSj7AQyXmJnkTUt7TIJ1eJ2pLdoCdup6qdoqo3kK6hQhqvNhIhnGolDLqctpE6UzvPoafB
ZTJQMruNYDzfjMZTYhn7MVC/GOa0omxYBnDVGsV0F9jJ0cT9WiNMNMTME1I5/azeimE4pUl0W8fi
JjftrTF3T1YKiYa6UfaNuqcWZNDT9uNA/6/FFJagEECg6CmG9CrxTLiVrT0rmvSkREMNKQjGeWTK
m2GREBZPJUCfZivLyR76oa8ifWM38vSULo5l0QSk+zIqQ8s2jzk26+60sTrb1kTjYn7VRvlzrTWv
hYl9ZeZz9oWXDullCdLKLIzNWOpeZNJRigvTVe34Oq2kdA/03Ifd6xsZfrXqe5hTyLmEl3GQ7GtU
299iU1ptLbKr98mm62DMGG2ERrJzFcWAkK1tY63mW1IQKTLFcce1Qk376CgpgZ8q4yP+o9VodiVQ
3YRRiZlJOuTs4tFI/o6SPQ9Vu6GFVsCc1T1lBQFlwbjp2N6LJq/gqtT0nFJpi6LjsCS4TmwATqMS
jm4rs+guqrJJFMsRo3XFTHsXFt0hHOtjYaFA7boMiHWFh33OzAs9HA+VmqBxL+G6a1WsgIEHywSK
Wmo5JWQGcQWMNXqzgJ54ZQjaRyN1zBmslzFvSn2HvvqxkunN5PLJwFjio/I6JhFU2SEIAB+qAx1Z
oSiumQTFdhzwAFM37MjqaWGimrtmoAoxyxVgEUDKCBrlD1vbr1buN2+q9mEyq0b2nNhVCoeafX9o
T3lB9tCQo7y9TJuTwonl9/vReyfBj53i7fU+HKfVKCo4XbAylOVXhSCC6Wa12YdPo777/YXWnJf3
ezZ7EqNm6BOMnU1drDvjG93x2HZDncA4PC/KTK8tnlo3DtQ70YbQnEuJZ45GelXFhEgpsnKyVu+4
kSDJWJJF9kd+r9sq0jeiZK6nQrMQ9PcPgCIvS9m8zSjfOPW4XaveTiF0h6ILN3kXvzByeJSirLoJ
exxgIoJuDqbpIJCRUFj4s0LkFyXetug085GIk9tqwfqjiYte6/ZAQQ9LOO8F2H60sIeGbRvL1CFV
gRAwCsVz7uK0f8yrhjFdsB8rdCbZhPxG5Phd8XQRm/BcT3bzqK5cCYQj4R/u6vt+y4+v7+1N/eAs
Bn9RxE1gTWdreomWT7P1pxCJP3xpHzYOWcqokcN0PsfWbZXYTq3d/+Gx+P0FPgbe5Eaeyqkazmeh
XsXYyrhNcjS7v7/Ie7nDz7uErJ6SVBGW8eHRm8wWq67OX4FMBnFQN+bUJPdo1f7wbajvn3GGYiAc
EeorbLVoWalM3z/jM5bYMVwqaAyO8plNzbvLNoEn+cRLuI9O4TzuDXc4frpB2Pww+a+ZP3/ijW53
2v73f/Aad/ovL9ub1/r7B33zstlDbFd2yDKC1tyTXdmfbvttfh1tbN92s2ajbLnPG8YxDqJL3/aq
wdfPxefffwrxq0/x9ulcF583nyILWsgUDff9adqrvul0G/vKdC6hq0Te9lG4R8PLt/Y52ky74lbs
7gIv3E471j1n2RJ2hDfWST3bA5KxI5jkMnKiyQm9B1TtZ4i7W7G39+UBG899vrn9/UfX/vRifaig
JbWNM1KWeC4dNAKb9mu1qe4Ur3aJ9vMiL/ZxP12U26vPR7/fo1yZ3OQiceyL5Mys0A1wyTpfAvfh
959Kfd/8/Pkg/7WGGh92B3BmQ2MafKpobzuRu+zybXBHzlqKQMUxHKD57uzAyj3XO/WFRpr/++uv
j+8biNP3YwWGuL/eow+rDUuNNLfVPJ3lpfTNcTygkzwPPSON319nXVV+d50Pq44VW9owLBls5xCO
7vhZnnaj8WnW/FruaEVtfn+1X3/Vf/1VHw+TUs7iL+qkP0cmgqXgpgqv/7sLfDjzaZOVGUbOASoV
BzWhD2ib3u+v8IcvxlxfxDcvGvMqqyAwcz6XAAvzdFOpT0tv/eFb+dN9+rC4tUrWMrRNuvO0fiuI
ouwpcf+7v+PDA9aXS9sXLVDvcZjc2DiTEIP1+ur3F/nD02V+WJWMIJRmmnPsBpOB56Tw06y71EiK
MDGxJ6N6HtC+/P6Sv/x+BOg7ZUX22uv45e33A35EC6q46896/q1JNikxlqmx/f01fvn1vLnGh5cm
C+1WAngznQUjV0m+zvM/dBX+dIEPSyI++QnUaj2cZRZtmtGplv3hNn3fH3/34n94jtGXW0CueI45
Gzi1G14Mu/TEEcG9aNzIDy8R7B5+f9c+6Fh+Lql/vf3G+le/eXUU+n9Kp0bsUU80hgtW1VPItZ3x
laSp/eBcMXHlXzjCh43hWNeSc0PEK7v61XN9pV1waodUhMzA2RVutP3Tx/vlRv52yf345MQN6u6A
l065XDdyycHype8LxXXSre49Fs4FTInDN/nTaom4nw+Abf+weq061t+uxh++90Fqjai2Z2oJDzqH
By5QBU92yLwb+2wctW3vPaubwCno2G6abbUF2fmHFfpPH8H8sO9BWJX0Yqy6s3QoHdhtCIS+iI3i
mYf+67Sr/PxobjGvfYMI5U7b9DL0kq9/eE5+vfX+9Zx8hFimDL/BqPFoNptpA+7Zideqbp+6d8Me
WSxpss5yBnjwCIHdyzfV1rzCqeL1Pt5pJ3rJ/rBSfrd4/8ur8vfr/lHCa0k2syHi2c+1r28NsHPe
tFk2yxHevPM53AcbVIb7akdT7zi55r1vUR0UfrdNN7extxYJ/ywO/odeXNXTf7V41wDWdwHm59eK
FvDf4ac/sjrWn/k5sVfVf8gGEEWCAtUf3v+/lXzqP3BaIu2SgYpixuXV+lvJh0icIfpPvCJv5c+J
vYWJDqgare9VY77GePwHhmDEhO/ebw4tYLA0xOBozukYQ+R6vwI2dZvrYlCXS4LvcoZdHSuJjai0
EvO9ktTbYJXfjkrtBVX/Se4J512du/KkH1oRZF6dSvfQADxg7CexQFUXHcCbIOscOYwvDTg9c2Bd
IRIk5FPpVSIQ5C34tNOoiWOZl1tSlHZ9ol7ikNcdy1hADIYM3VDU0ror+02nKV8lozhAqIRfOOjh
yTRSBhoVxGurFv6srpAZSd7SqNnLUAiBD1gPZqVdtWp2KdC2g3op6GpoQwZCZGZkB9VjFvY1M6Db
kKymAv4l+MSE4XuGTW3udBRiYUJ4eV+9Fh3XmcWwXSTMbBp+XOTRu1xK5U2IVoboijHyOzuWO9Rg
FT3fMPXVamReTFveY6zvxpnY2HX2CXic18189Gpot32Np8ctsQpOC0ggU4425ZjumqLwp7CjQU2P
rtEzZa/O5UGTs/hCgZYVFDPZa41Mmz6FU0WCkmuPxi0hSOj1rIbsZ1guxGw0+iU1J0Olnm7KYhuO
aEW2xw1AWwlTFNIAVA7BSxtad4lk4ZCRtJ0+B19lHQF1TtoR2o7cw/MFqQVLzZqVgaKQqUmd5vLd
bNnI2SaxR3o3eXpY3SBe300w0NwIXaEbLjRpy7gN9gb0LkeRU7JbEnsTF6ATliie/ZoMN0eE6WcS
J/H41CtcUlrUG7umEbiI1CfxEQqNrESe1Cm0V0fZTkmhVvMTjPICqaAkduGa1z5C6N9XALUnU8eA
hInaMVQzwZ0nsnrX0FwKbi2AWheKEX0hTr3yrSC1L5YqihlONPumDu+I3OMc3Kk7Xapgana4maJe
+APseCxI5aGwmlPb5t/KCYuavoy4HIanqp1Nh2S3h16tcWhptuYOQUXyiCX7YBSPZL8d81zW3cZK
QC5ZMM/KcNuN4lQsFq+E9NCNCk3ZcdklKsMIYl8ucWxte0vZiBhzAg2L0kGGv01M9ZjBVXTolr4s
FeGFcnpvTwS+5CLYh2ottsi+cjdRkEo2CZPJOCpebTnF8y3hRgrhatr2qcjsXSeG0h1N6UscxPdg
miixJBoQiSp/0eLqgUw8TwozLESWqrwOjfAlRXoeIGoTcGLhtybfRpmN9Bp4+0tXDYeWlqG5tIdZ
VLT19EMYY6BsS3E5EQR/ov27zcie8yvTOBCQ5SIwQxGrRjeM/nsnjecX1bxLJV+frUMVxxsbuxgD
h5h89kq6iwdTgVCSXVu0sF21bJ4rqbtJjD5wC2m5igR6OkPrPG2k9Q3DVJKM3dIioekCWsRyA9eD
3oOTRfYJ2/HepJeOa9ztdb51dWwPgzmF2zRfXmwDZn8HttUgmkEgic+kJETuVh/7cdnbVfxJFZXs
kHDoWflo43ZJbrtMfLKbqPb6iTFBUZsPGC8LV8kDXmJa9sggO8whrIWOvWQTEXIIPX4wvP+3465b
1L/fcb2v2f+dyRKigvu47a4/+Ne2q/1DKCZSeOWfGJ83QjkdrzlSCOyk/yRq/Nx219xxWYaFbNCi
hle99oX+ue0SukLyIcRIIJIa8VoUqf/Btvv+RChkHfoGfUIoQ+B79B+hKG+OHUxHkjZbCvWqwI8o
p/HRDFNXG/40kIfZ/m535y+hqkDYZzOTZyD8L6NywmZT7LnpeCWEke67ULZ0Xyz9RR4j6ynVEJQY
CwJSrvKSGv9Yp9W9qTKZrVoQirikOpwpSorODFgXCB1ylxG3OZJgo4dS9zS2FZxHKwJes/rKoza7
rbigq1bZVSnHQFLNAghgrTJhIqLQ1bBE41m2DnU+ucS98Kor7eLRZcaLnRabwBg2qi5AucHj8Np0
wlhLC98yT9DwbYc/8ynSs9JFIX+LQvdGyqezJIkzwjBwWiM+TaLK94QXnscgDwlnUjCAWRm1yADM
csXK9kN3TQbihiT1R9tqvuIqegnz+blZdeopoyOPTOEr0QQHw8zjDe3enWEHzbZlOO1qTXNfGuEu
tthtsig6cNj/VIxRuhlyufKMAX5HVk6VJ/WrORql8Ebplhclz9dYrORSt0i8YhxM+aJ59SpGM5V7
dqlTiTiGwcd8Y9b9lpg2bGmhhAOfYNpR12KSBMigjVQBz7DK2KNQ25j2i90hEYe81tfsBm2vp/AH
ZY/+HUVQm2wRh3+zZgQ7siFO0tADzS0AABCnA+ZxPqsj6Zgz3dgxUkjVULIrwiiTjaaN2yXXT2EY
hPjo9K09cG+jkZJQMkCCVugCyXbbgUq4KYtl9rSlfYgNZXFDggkdrctu27Hfo50cvEaTP9NqQeow
zg9ZHIvtpC2X6lQYGMmTgQzF5ouSqV/UMQMpPSm7MmOlFroCX3rcQkq4ztmTJrM0jqa2FK6RFZ+X
pHqKTIbVuVHeQXZOPL02093Ya1vTRB+lBRuM0EQk8ohFzqRTnynslq9FUobNZrEkcIrCQI6myFOK
oHNWG0I5idksPNkcN4qFNUypm+kiy0SLeBw2Z4AwW9e+UIXsY6Ew7UWnT5B9NTykQlu92WzlCCLi
Fdg8KbGXJupeQ2iugDnoVheCVb/CJ79RUukrsQypU6OLKnkaceMPBN21HTGlo0cFqOyhUMIVGIej
1YD7XpMqwBtSJLVDvPKxxmcjMVuKxOoUxnLgttUEE33NJG2PVQJspmt349itOiWkgXbiDolMdGtJ
4cQrqxXpFZTkQyZJ+yWjZxCFUYR+bQZ4McRfjBFwZTImGimUyg0hwQSjdF9TyOUuR3CnMKonyJT5
nbmPMHumnbRjKPo6JfLLImZ8fdncOnP2kum30GChBPQXVbnSRCFnEyakbnAERLbeoVrX/FHTdwPR
NY0SQWRAj4CQLOk2sgKnIhx0BF/s/lM5eoHUUHaN1bZXisu5HJ+bkjIhnvWHrpOtUyURSn235s6F
lt4Eu1JdQ2febDBXP47V7wRHH07/rKKrcg7jLW4riMUfg7DattX0YDbmqxH0p6Nvg4vptjztE9rR
r8UjHs49nnAnOEDX7r1k+6d5zvsj2rqIc3nIxhz4kD7jkP9wRAt6MUhGv1wN5msV7G3a4Pb0IqE1
/f3f+avrqOtZFCGcocvyh26T3bFn4TxcrpT4GE2tk2Vf7XC/ajR+f533u9+Pv4f7yR7IKBcx+4de
ZY0FRvRKJDOiPzQGJCNMEfrj76+xiuTf9q2+37S3f8yHi/SRLLcqjKOrYdM+4L70h538xfIsYKen
nGfMuWl8SCcbdXd/trzMOQ+nePPQ+oF/nVyMzo7UxGPn8R965Yb/+Q+//3zqejPfdHC+f76V3mdq
iD2Rsn/4fBn59mDqZeUKHMw5uJZ9+aQ8hhcqzhq3p0Vz8axsJ/dcb8Ydepj8gOLhGk7GBi7Vj2bS
/wrJ9QH+94Wkn/2fVzavX8pfFJL84M9CEscF4EZbxnLBzgl08U0hqfxD4Stk0qoaNPfXVJOf/RuQ
5Iapc05Wv7sq1r7z3/0bvnvM90KxVmcnRet/UEjq6vuXif6Nxe9hZZJ1jXeJ3/t+cajDYBISqqJL
UpQfxmJmf9JqT6L0dcykba6kJQh3BZvlk9A539ocjBHrk5Fj5ZCGWmkoLlA5cB5bWKPlQH/EcmVi
o7AQl+I92Cw6UJ88XtDSN8CHOr0vOcDbAz2KdsR2tdySL0/+6mRFRASY9zbRXewqxcZYEOmaorxg
QQh3jWbuu3h6DAC2guupbjkmzVgyYnunyOHnQmcj1OQDxJpzKXOAIktCceQmUTazUGiajNIxG+Pt
XFNo0NM44NZ7Djr1ojOqlvz6/lYewmxDbhtHvNGQHTA+nwwyXXcoupHcT2Le2OX01SiNryAYEg+Q
Te+19XCyJ+2poM1xUfVZ6aBwfVWH6DpC57jnY362i/wyReHITNJ0pcgoy4eJCAWfpWebKmDSBEw0
uCSbsITfEeAsW0T+1cgUf1r5aWVWbXWIamYz3oyIenbQ2S0yJgRh9SPhXUksGX4vTZdmNGrg2NWH
GFrbsGLbaBh+94OUqOOAuiXQ3fAZ7DWjeyGdnXhqDQBcDwluWZFwljw/WBkiq6upBWVZddMCdYUt
0T5GUvVt6SN8EDgh/TbpdRJKTHTc68k0j/HD1nFi76t6jq61VL2HQBITQQgcQbUiZwlT7XmRTQep
pW33d72RhWdyPKqLhUgvsraldAekAb6yfKPgA6TIsPA1Ygh1Ujl+WI2iHOoZR2oS5jQtRLpVGdXk
ibJj+5TKqzAJAseg90F38s6UoAmMSfOl7zkYZcaF3hfcYpJ3g2R6rET8xdTyYyAhJCuUmjkNcktA
xv2rDvub8AjtWVKzF8prdPOhuQXWzfw+SnaqjM3ULFtv6hecCrDA67UPU6TehGa0yNKjEZgnpQft
a80zQOPim4yJ3ocvYThoCOHSpKFAVZd8Rgv4JFT4ONF0k0XdcR6kO9zHLx3bJYcEVDK9dMDvcJa1
4H4qksM85nxbgfoQ5uSARE1wF0zmAWc+KWRqqG+0iro1texzoerPgTne0y9eQLJnCRZ+Smozlj+1
un0zNsgLqobuKqxTyxwuR0W/0Wb+ljyIr5tW2QO1dRngX4TV6PQGajlJfArn7mE9roSFgLklLqN4
2WlNjmg85sDTzk+it6xtEsL3T2MUMixz8BFrCWbZCgYKpoG44rh5atr8QrMRJmrqHrD9A9h5VFgI
y91aG/cV/AKXBxacl5TdwLz6VGk5gJwUMeliWNs1XN2HYmP5QVe2PqHQYBdscmN0jMpJlSf7wqzc
qVU2lgrUa11xWaWUEjzGcFUipXVUELSbfpivQxmStUKQiswtYE261mbjlPT2Z2GsTinTuId5ctL0
OqFfC6NpAL5ACiRLXBMt0BjlW9UuNpkJMF1dW94tgDVbEdkux1+rZB1aVpqArsHz1i/hrSLrn8wc
Dk+oWidYuME2DCVpw/n9BppHA1yMnuesmp/UGD2xUmSwHI3KnzUEs3ms6gAl500KB6jpluA2qRck
nI1yV8QDTWKigz5XkXQ2ymFAyMkaEcePYzRcNna0y4X1baEE9jss5AC2ZIBnIETcuBUSqUPtkj/m
kOTC04KCio45rHxdEQdhNXc2nmBwTiaRxkv5Ui6xjXV70OinLU/BYKNfHNpPRifV7tI3VzjVzlGo
XGoieJna/pvS49TQiuYiW1Q/DfXM7ztx3afLiQhLMqvlpuTvr30rm44y+a0g2VChiBHDO/bhO22C
fhUQ+F0mD8lA5zJFqM6nWZ7sdDq19fyQi/Eag9MVzwM3Yerv81Q5LwLTKuCJzBnkYtubGNdXx0Kh
zWeFcAF5Sg66PN0XKkHeurgywtarbL0g15q3GosP8mqDY5nQ2eQMkMBxgiSwkBHFssZ6Y1ztirrY
NUm3OGbesuwYoDcNbXaEAtfYUDDAGFWyXxZL3kvpuC8SgyZ8jFMbnJ+6p2Efe3aW9H6pVagG5IbA
KbhzTjjRJlBJtflejPyvKsNi+puq7Db+2vzSBMtP/SzJVPhKhI4hdMefLL7DH/+CYyiglyz1uy8E
MMVqQfm7JDNNHjRLE1hhcMP+3dsj5oxfoq76+HUUxlnrPynJMNu+K+0pyfC/InGlsqf4U+2PKt4F
kEOklrF8SUcRzkwOvsBQXsrwi2xTHQQxBMriGFs84PFoq8ex4p83qnlpcMLt62qD8e2GuIiXtl1c
eZZoH6fRU9GIbV2ZN2yvpwq0DwbLZ8XQsdwRVbGY6aETZusg5WepDPv7airumKnVTm/LmVuTxYBj
vHoOktgzhHoQAAlzpX5dYKYqyfKkwiZw86m7iETho+wx3XSJd21f0xAolif20h1trhinanc1mdFz
khf3i1Ue7aR+YsTJ3iHUb9JYPGJNf8AbRvnSk1VqS5vFXK7IIiUdrK62lZ307gi524o7asaAKGAz
GCkMWSSkGQptoW/NWto07QDCMLce6lGlB9jN5p54VMUZA/2QsDEj1JF2xhjjdkMAu+shnpU6KkOY
dmNl3IxVf8NMpLnPxPyaVeSWGTW7YiQ/yrmgVCIVoJKnU5hWwhlD3LYiKXYdmzt9jv6g6+3esJHU
1YG4mJUvbVG8hEF/P1sChA5eXXIURryx+DeyWjtlpv5VMyvybYVyD02KokTWBwBvBKy0IXCJcTCI
Npt3SQstgrzNaoih+3HPwjDTvXFmJWqIiOuG5txNnRL5gZmU245+0nToSlCei17J3b60wAp1pj3j
Y+uSxKlLucHyFxPn4tOg6OxX8hhGmhJC7TwjlafcmTSop27O8ASPoR55YVTXbqXbp7yva4wa2uci
auAYBKSIkSAdOapa8v9G2RuX9jPmVZ1w1PqbJeBLzjhI0YqzeCow4kOBs2yp5oOpmWcpAkjaqRW/
QzacUoqeskl/LqxppFE73FY9GcG2VMV06sSXpGq/qfP0dema2SH67SFkRo4cWzuhDp+pSNRDU0ix
n4yd5jOZvppUUu00O93pUfNMEl630ciN8UVgPbMu4/zQDdq+5vgF5t3oFNnIJpATp1SQwePKiU2W
Uiidw+ds8IowvCim5Is+tZ7IeV4K+MrpcjCKYpuU1TUsqciP0um+IjqJYLJwm0W4J+gm4vs2HgOA
lFvBP7HwRYRLfU3WuDvrUnsc2+dC0C4MZqkkZNhcYo9fNTkyWBnyySRoLhnFboQTspn+n73z6o1b
29bsX2n0Ow1mcgF9+6GKFVVB0QovhCRLzDkskr++B+1rb1s79UbfBrqBfR4OjuEjlVwlrjDnN8fo
F9xQqImF1XUHpnOXUEie7Pw0oZMDTv1uC7NepmZfq+tqTOrXf/eVr4wFg3LWn9/2YSz8tzXjM69R
8/oHN/75i39sL/qn2a2A5MFy5ns9e8iP7cX4RHmMTjmDjPavN37nEwMCc6vlt6/6fuOH7McmMM9e
fWM2/bMb/8fNhZc3TSxn8zZGR34u4v3UOrJSGlixX0/nqb2vXB/ddPs35bn5O/xSmeK7qvS6CKAA
ile/bm8/vQI9Zu5nyP5gJysgC9ZWCh7E+oLp+KcP4A/Kqr9uk9z6P7zOXNn46XUKRSuJQVgAZFk8
tRqE0pe/foEPtZHfv8Jcg/vpFQINTBAzjBotB2fRm3eOeKftzVp0Fl2PK0ddNv1j2W276LIF6K5F
bzHCi+BSL67anHBIyUz4hc1dHWos0KirLr6RuKIHkf3NW6Hpf/Oef6jiGBFaClnP74Wx8rm5V+V9
x8WLsc2z5MDgAxaMxncHJHLF/3Tt6G8CZV9rrh8/dI2ilE0D1LQoAP/6VuWIh9tedcYzNQIGqzRR
p4eEhBKshdLEVkGzDoUFCox9TWXY6uS1llKVkJBzlr2K8KKe1Rd6yVUNr9g8UN529SbNHvTM2HMz
aAAfKrF2NxgZBfJExCTSXGZu43hVM6NdwjHS+4p22UgPAxrrdO7taJUFJNgqhcvstKkHcZnpl6CV
13730PiQh5pbMixHWk6YmGyvBwStU7YxqJc6TFmOcekl1m1RMt9mA3+eqpo3UVt2Wndw1Gw1j5VV
D02cLUbFWFQyZ9zdvIJvGA/ZpqcmdJdZ6aLEMbIqxG1r2h6oxkXcE3+yosD0zKhCJOYCeS6S9LFl
hinLpnohmC/2uDX9Tf7266nxt09oDmr98uCbHx4XGQlowkMzndWNsfV306G9Nzburj4zUHhotwxG
rnDOLeGSkJfdc732hkdll6zbjbqxqW3HfzNX+rsC9ofH1/j1N8ZM087J5l/ZItnB5wDvUZMQWlfq
3yxH86/+b//u3z/EHxY8eG20qkJeRwGfeDt8qYJlhPhB92z/bx6CD3SZby/180NArffn9ULwc9WG
iPRzaCzjy4TO6kAcbSGbFYLX4Cz/7p/2RyugRp8a25QQLuNDv74e408DJC5DP0taWjCse+Xyr1fA
X4vD//kP+ukFPrx3ah45eR/o+rnpvY4hX6ksG4Zl/89e5MMqKwZhY+3jRUR/MVVUZG91++mvX+KP
tqSf36gPy+PIXl1j/tDP82zwAC5Mta9FfBIcsb6+0H/1rfsYMYrcFO/t/5i/82sBVB9VZvs/f/1j
8+3PsI3m3Ogvf1jlbdSOV91bPV6/NQz7fu8BzP/P/92//M8AzO1Yvv3Hf3/+kkU5/ue2jl5btpff
hWN4z/78eLSu35r8D85FKl/1/VykoaKxOcZwNGBiQZ3HGH6ci2BSMtdJs4P9A434T9du5xN/JsbK
2OSccZ2bJN/PRdYn8jmMRVhgq+Z+4D9iTxGn/WWhYIEUum0J23IdjUeJusCvT1OSQcRHReqcUCjv
g7bq82Mr9ZGp4KwvS3C5UTdtXNlAjgmzYPhciBDHTCFykOptHD4ORnOThdXohSS9l7LtNpUMPNrf
BALUXPcKLeV2I+IXY8YRGLkVrUaFeed8sk5YLxA3pspjAdoYx8O97AotuWqRLNzA398KbiW5g/oQ
JAx3iUg5JX7uygXuRnwCSvA4lm14iaUusi/DdHQurdwl42Ci2SYcyO9P4Vl+pua3tqMYa5/yoFw1
g+a350ppQmKI1L8R8iXyPtFFiNEiKbZRGMcjle/6KGNzLzvr2grMEUh5/lmd0tvOBNNehOUrNk90
NGH3krXoweoZH6QZL2EO5KFWzJPd6VAuh89dGFlLgz6M0iueklF5C2YSpFmCG3FH0FRNjgJSM8N7
wIMu8YwENp91k7j4DOMSQ7kSfeEEfZt15ptq4slsMt4Uy22vHHg9lNEgV0m+P+WLMnkajYDytIy2
6kQ0opoTLlnq3lappq+LPMmh+c1EmFjfhlh68r6vvUxGOyOEjGVloQNJ3wGfrCb5ipHxlHrduDdK
/crXu2xJhQZOpqlvgVBrS91lTFyMg76DkUw2p1O/qAUC0q7JlopvMQbvNJssF8+Mv1/YwrloDOTp
kQuu35jEDXge7v5hsx585YslpnWqDjtUQKegRmzAkLhX1pO9Zc6MWU+/fG8LAhF2BFu5U7JXGYrB
68f8gV/pFghZ72yBRCVrfr2uTI0yT+sWp9aKFdo1/mUqSC8FBYGgULv2S4VWMYVs0ti1tUTB0Sz5
ffNCq3ggUg3FIWj3LZ9g23RrTmfRZrAg29hqVaymHG5DP56HyrrXmvZETvo2botkGanN5ywIr0Mz
RBmrdhstsJUdtVJj0Yf19ej4txgHrqYKkgB8h9JDmhZAII4oS9T+ZedPzOr7ys4YlNe6UkJPNSFj
jxa14UkTGDg75HSB1WxcR4UXYI7TviidczwWTOhTYIFokxvLrCdAXpnyQKD4C4K3fdS5uJ+a6GjH
IF4i1blAiaZtVJFyzgsqREU4ek0tfiYdLdejaM+koB96BVEvj3q/iMfMXoad8Z6NHWCcsrjupnLZ
wiGb5nOr4wzTwswLMIdJf6fLKd8qJr+d/txJadLojfDxRE3aebCkdaMTHdr1BeWwtNZ3dGch77gu
jBmO57ZJNkvNTHMtq/gcBTYirOQ6S/sTLGuFrBWpVol+OcoEROsc7EVKG0+WkkBYTf2jyu1b0vY9
CVb13dfNJ9VIX0nt7yppUF4PSLv7iv5mNsrnJnbEMsuyz5ls9ZUucPGNrbaJ7OyxGM0LSykIrtPO
Yvh575iDfWXEbumwhajAksLqxcBoW+gWsBzFAZBhVUd71t5O+G+tfnqpDf2xcoWxFbMitxTO5TRL
c1143J5ZUxECXYwnFbeuP0t2Vae9CXOgL26ppttRLcZFN0t5cck8AWm6abMWfV7oAlDtfM6KHcmt
uCzzZR6pTJGWtHos462fRio3Fg2dWQbcz1rgZBYE97MqmJkXschUGqWIRV5JtDGT1eDNUn1pnaJZ
N9w3FQQTMsaeoVfXcpYSjy7oXA1PcTILi9F+cj1BYRzBDwfQHZZHuOS7Ec8xrAVmi2b1sT5LkAeD
39ayjl/tWZBc+vG0snAmB6Yxy5PRKBf4lBM4u2A57HTtutzaWA+nTY5/uXatdV4rSCH8TUGn7Cqc
Vc1WEYnF2HCMJLkn1uDtGdu1Rv/KzvVy7cy+Z7zPsRMBB55V0LSnAw8HjLrE2Dzuw677klRqvA7L
1tjrpQHHFywqNvog34Z5Pt1NMuOzkSPW1FlFrdBTWwQ6BFALT7WR+YTeNBcaldVfBLisfZzWSjSB
LtdoK/rJdFXjvcZCdOMqjn0gx0+wbJZj03a7hAp3m+vk/Wac4bo0aH90aHtBbrSvwG3w1jDIthlc
cqOjBl7E1acB0kl42eLnzv1J9ZJZ2V3i7jZa/+Dj8k4q0jmz3NuIK9XTiQYsIszfAgO4Cyc6bXxy
AA62c3vWhKdMQBSGO678WSFO+Y1YJ1ZxrUuei0S5TLGNJ0T8lyrhplVca+h5zfItnZz3gCA+gyTo
yutZXN6htPFkCkpwlpr32M190cEw1tTek1XtLwsc6DmMkG08xMHnKkw9sKeP8OLoGPLoOhjU66x9
tAwFf1x7Kr+GENvs1bd0sdJm/brAw97NQvZiVrPrONontVQ9JY2OWmn5WJ6Si7TmJGKyp1qz4h2s
1tvgNig//IM7S+DVaNyj1xHzhM0itvL7bKxPQ67P3oIsW8B+W/KB7ivssFaafVGwxcqBrq3NDTiv
lC3G8zcyt+umQzDbOOWqKflbWSif1Vg9TMFFBiWmRktbNsmz6OKXsGHx7RUVWYqzw+I0/9bgtW3s
ek+unoZpwsczu2+p4F4Msw0XgAfdaAS5iHS53lvOTRQH/J9ZwHuEulGdagsTOxuwbOY5OLk9cQLb
RQOy0dnHayDmnWZDb4eqlwL9whfyXjP45rPLV/rxRTLbfY2sfTWBfwcO3t8SvK7qZCCG88+awYYn
8oCSLK7g0TVOBDrvainpAs8+YQVpQBmJA85RwsugrzulloRiLI0wbrZBBUM7WJ97MzKDeASrsJnt
xfiriFxM5Gohk99ks+NYn23HIefOhYsAWZlNyDlzBA5qZIkiGTRhtA6kex61eFMgXkfbrbubesw9
bTi4aJbD2bfMGE22JH2+ieO+RAXOQcaYXgwkzbYMXqjpHMzZ3qz4asiHVT0zRIGiR5exxUbc1xc8
PrfB7NugbfpZKx3oicXCbbj2b40g3epIs/o2wShulFf5V4MH9z8bJjL1HuU+7ItCRWmQN/WeqK3M
iJtIgE3rIu2V8Wrk08lVK1I80ye0GUyOjDxXJPtC0nwfEoWnTak3k2D6uy4w3DtUV/JEkevILDwT
3Jjn98UDCJ9plbt9Rds90FapHt8ZdX4jTXtYE6J8r+L6HpwghCwOXoofwYSwxC50zGdEsZdDJKxF
6NCvCSNGWjh3NajPzYrecq8tFPIIbCcj50KVja1hS+Pzmz87zuadGJl8Cg9VDeksLU1vaJ1T30ZU
+pwDqjgB4Cp+1uieNMI8aNPI6aYoX9hbUKWl6TLJ3bsmisx926lvkw/Nb4ppZoy9C7KvuwRDTw8j
nDYDV4kF5xpJ+SH/Ustsa1DfX1oqmpKqsQ9mlV7rwGbyFmK8lRVyy7p7EFBnHfTsDJs1zbbreaJj
nRe0apKJZtosGmCadYMfDWHZptQ57QoteUoqOm7hOYHOGcOxkoOxs2oqacIFx9bQ3MvL9pxZOKJH
0GmBBnd/jE5FoJ4sbI1p3p9M/WyTkFGmyqtrhYlqtbhPZLBrw+ixddq7UhR0IiDsuPVmsJ0Zn4Mc
IjuNlf4UlRhsG4WVMQt20+hMu7hLGUGK78K5o+5wFlyFaLYvWBWeTAgH99nUgyus4oshTED893Gx
HLPpKPsR7rmtPZS9Slw4uZIyf05KF5Z/A4NzFI+pVRwiI7zPJNGj/ys3+s1bcXrO3ppfb/D/T1/o
ud/++YV+k77l+R9UAfii7/d5XftEvdecVY04qb/ezH/c53WEtKivXQIjFt10Cle/tdE50DJ/+j3a
yF99v8/TRnfnGVf+i2AvWel/0kanV/3xPk8LnYgk39N1wSXy7X6pxuVj4+hD54qzntEqZNmeyk1t
FEF+ZSh5qMNzQi30RFSovjLYKe191kf5cmLW047Foc4xrZRZ8pKQ7xk5LPQ6VKjRNAl0lEY6ZMva
mHb5ABi168UV19R3dGHR0qldtkN9o+DyCpqIu0q1UXF8ubi+hlLZKlH6YtXI5WjSHoJYXiWzHsxu
a4/73tZR8ZFy3cWCJ5co5hRiKKBqNHHSOQFFOoNv4IXTNfDN7aj1CL0U7SXGUMZwnbWrXeehxF02
1fKV9fDoUoWH1si/7VEAj2tn5RlZO4pKrpfMMrRYoEVLZkHaRCaJJH6+1HttW+FQ62eZmmzRqiWG
Uq/KWbVGHZJ/bQ64sCmmeyoGR3eWs1F91KmgI2zTKQmEJjpEJl3X9Sx10+rAoRerPbv43oiG9l5l
QtPF2f2Y4YTr4phTf3EeZlmckvnWOpsFcggzd3JWyokIP5nGUIOnSrNH+IZ6DpiwARcuy5bMJDO1
MF5lVrJrcGIsQj3+Mmb0/tVZZlcXPplGBgGMYHymkyMxaGrvrc44JyY8SOMHYN9YcWZJXg9NnyoL
4rxiVujRlaU6gFUPfvRbpuTygc+TiMTTlNlHE+MwbH+sbPFetf0bOWv6apnEDQA7UYUHRc87tjHg
q8GiTEEIQ+BvEwHZP4ALmTauyYrfh5vIdZkEyYJKHHVHCfdOUvQbnbVvx/tSqiuTyMUG/a648RHU
gV4aNdjZVUE5oLdGc0Nqzky9tGMSURuLkLhsXusHh8o6Ii7GEZUpUR/+XQ65YFuM1P3VcnjTPtPv
T5+75vdr4vyVP9ZElTXMpvVp6bZBh5fl8seaqH0iAU6N07UM66N3h8lADvekxOEvf12pvq+Jzifm
DMmPM2tIaYjhwX+yJhpfa5i/NUOocbp0ZvkRXJd6KQ0YfvSfOxSKqxhJjWXt3DGIOx2ZHbbiE7qf
WF+1bZZeOlHVM8ScWieL0283z+7PDq0amVavkW/OtOxQodlKx2KfNvk1Y4BeO3u4jNg/upZ15OjN
SDyqrsDg8snl7BCq8n6K87evj3LR61wTErugDDWttczEWEOrrYMT6ukm5O20jY8tw0KD7UJnNvpc
e6Hvh4xCEs+GTu9qVAq4PO71xG4ZwNUUSlJINe1okXGjhWKlqAbZC6DITuRkm8oRezsF9Xxr+C1r
jJ9JZmzEV/lEPXso4tlI0X2VU/TfRBUoK5yv8grodYgsHIChnmjcOt4mudNPq6oO1GqF14UYLWmR
l87OmHBO83uHsZRlG8qN2wtQJpHNtE3he46s0I+6qVwbXXEk2Vgt9QZMAkPkq2qisBUKOoQ+dSPV
/6zU0454/XXvZMucuDb0dq9X2sMgLfoj9rhwS3vW4FwzmPdckhahi6bgYe2OzB7mRJnLrcsJGAaD
dt13ys7W9FXuVyc3KN914qaZIrda1O6lnW0DvzoEAgyyPpy6on5Rx+ZahNwEYvsuET2FQGfra8HZ
DoGOVml5k5bEd/LIS0t1I63mum5dzxjIDNnmfebYjJiz97kNeGxmA93M0Ol7veekcM0UPZHsVrJw
N2Y5kWtvjn7UXIqkfeTY6jmd65WKtoIVfJqK7EyGmj7odMobc9sM+v0kiyNXrQUC4hOf5bKM5VqE
4Sn2ixPV1IsJ32jXtvvY4vRrq0+6Fa+JiB1Lo30JCtDr80cfOOLWrMm/ZtrGtYcDQw/tHG87ddR7
xio+1bZ+VY1y2U7KnRUau5TwD9z3wiuTbNfAFgAtthB+9SZMNoA8vXfi8I5pg+s2VNZ+aR0YAVlT
Hz6pcZ9yzcbqZA4vPT8E10zNw/CLR2facw9c1gS/A0dbK9Fwge58VzSz5mis32pHh6E5XNdjQk41
6K0rx6qpycnwZPvmcbR0NE0piFjUnBQeI70wGG+gvLOwhurMpOZBavxKdcLcpX2jcGyWpVc24ssY
AF4bKHJmxoEK0dVQtbY3EKpiJ3M8o6qeSJTz62fYXln6G84T41ox/CemMI4SXsDazbrbRPorQzFw
spstKWyCwQstyTmtZOY83YD+ggoAFfNQO/qmeW3WDONTEUMhN/CJ97G4jEtl01BrLTncb8swUZZK
48TratCObdxtEp9EFUoJVQJ74LeDT0sngSu65rLyITvmZnOBkhCe09hcpFl0hgx8MCploxkS7WR1
KnUC4bLKXksz48OYFI9hfenF/sib1dpXVuruCsLkHmOAxiKfjYv+NIC+IFhYqLpY6qGFczsqD2D4
mWpplTn/9tA6oCEASJDLy6ZTpxlHagVfbAN4g+LqW7+Eyj7QMCGQ0F9TjvvcCnuvWCBulS5dp2Ne
okaSR4g8hNZMVoBMAeIryrzz9MrnUBeV1TruxkNRaXJhG9E5Saq73u6oOofDbWADAWHMluNeu+zd
5AwgRUPmxCCaUccAVLJ8KaJQYMxQ5GECv3wRMrD9rb/9X93c/P/vKqTRqP/zq9AuK9/q6Dn9/c4/
f933nV8zZxOOxaj8txsPt5HvO79mk/oiCcZFBIy+ZvJV329D6HMw56jQZ/hCYmGcF77v/MB9yNOQ
2ZhxoNQ+/1F3k27ph9vQnCa2dJ2jDicT4gLzbemnLJMTVnU+KNV4HAw6bmstUZmKLx3G7t9VtC6W
SudObQueZboj0xbVSQKGxh9iVE62mVz7OjULl0mCba31zojoXH8NVAoshfCfmfG/4VHKLhG1hozG
2PqaM1BA9FFtjoVtv4clus8ER8NCy5GhU4o24JwgQgPUQ7Qq06zDRN1gp+RpCx6Lmv24HCBNL+M4
qE8oUWkfUYqjj5RcsNfnXlPKcQ1VYI5YQQ5PmZ9fMq5PZ4wu7snsx31iRQe3aP0LHuRknSiCCgeX
PVZxnTAlw+HjehBO6BntQHXBGJKlljilVw1ptK5c8NmqqTymtnYu7SHfO2F3CwRG9fyMehV1sXIZ
iFE51bH9KnMg71XhaJvCit+nOH6i+MVkiNlrGYRxxz+UZjzeUfP1adKEEOIMTvhh/NYGk/6o1yH9
MDq0695OK89pUlYwTvMVP24uLhiR0Va2VJW9WQ7qwUI5s4kY5V8EdWcfase5clHk3DC1vJPheKuU
uP8Kkxy06hZXjk3xHvwAPkKV/FFYDMVuSqhDmqrkzjgmykELOyagxjq0QHEHNB5Vgyy4P2rtBtX6
yKViqklYnUM+u16nF30cwbLT5gw0n8ZZzHcCKiSU9ly6gqiVzk3G2hG51m8VzBnRTu+TaV/3uThH
jNJUEIVcCoSCN8E/C2qF1OoS8d5rIjnotE0BiU83hFe1wfv35vL15jKHAf9i9crHP8hlzF/zY+Wy
wIhxxSAWChXsl1wGkQ0YKCogMRXnBDSK31Yuh+WOso9jMythCAosv61c1ic8HrgCgJwwpfqP6zi/
TmIDU4EvZMw/A9ZGBi+MD/kgAwA30hynhedpw7kq0sgbisx0pyvwBxOl8EiE/mSvzLBXQyZrehS+
ltbqGpM2+piD6B4jNsTKjarxzIQjzouF20mrZsZvgNoPCCkNjQ2oERIgC9NMo4Z+mx/3uqf4osg5
Atmdeel0nahzz1HL3rwYLEs2WAig0zfPDln0aWKCCtclJfKh7iFcabS7N3FTimNYqSG+p9omIyjN
u6oARIYlYVF1RYIoJIkzT6tkfxGN9LAJU4AJT5PuWrMT+aISCy8ZJA2Dl96sh3XaqNkhspNiBR3E
P8WKZa6ZOwhp+mscBlxpjFeao/s72jbyyH1FnjRmqDB5le+FJBJCQ0Cvn3HLEyVv6RcsQ7pOO848
7a3OsWnJO2i9ulMqNn2YykNAOMLnmLdJkWBfu5OaroY5WZF2ENzo+1GdsdqWdr2twjZk3nadgKZZ
m6VGmRvqFYcZgzAIHxMJQ19lykkrIbMIEepPxlTCYZq4Gy4SvdNfErOxLrqqCXYjpZQHw2oMRhV0
un/AqL2J8+e565JX3tJ8Vwlbu9GaiNmUmDDy0STeuEDwFJ4wlwReMFrRyYqaZiNEWq/iSbinCW0D
1rA8JqsBrSmkKPRKWyE9MHjWfO4yYHGNiHNGmiMdEZuWEnUIm4QwgM+84FDZV1pC44K1r7k0IqP0
qPQXFzQLAVk1yZ6e2wSpQ3HXlTUO79LkIuWWWbAfigizshU7Cnc/WwWd0zCAUowkD/ApoJ0aXTTl
AWkEaF7TYrBq/ACTLvx9Wiv2Z0bm7rlj6AddccszP76/VhL4Kk2h05Ssa/U8TiG0EVfGuyCiz1Qw
J3tESzdeh7Urvb6R1WqMumEV9JO/bhi7Dv5dWb9xGDUyqX++sl681X9QIZ+/5sfKSnIfZjzYD7K3
35bP72dCZtDgN8F1JLo2V4pYj7+fCVk+BeUZauCUab7VkL6fCU1WVoJyKopzW4Pm8Y/OhA4/2U/J
2DnwZkNiIzmq2zA7LOdDZtvRygBG3oTXpWH0K2FKl7lgPHSeU5li4/TuM9p5ua5KCwbOOMWmss8a
tyNh4UR6/BjpJDHOoV901Y6SaAlDrotxkTM13DmXpVnX8hLs6qk0kuiW1imDl6ExOYx+Tg2HljB+
MlKLRTwfg02JJkVbBSgMUbLl8xKvm1O4br/+tlaz7Gdn+krGELDWOmnziCYxppM5MGFKF9bo7CZq
1no+RNo+y+RU3AQTh5tNVPlzZQtyz0YYAQV0h3bv0HPzrQsZb5RkrFay8rVNn9jaSg7VtFETu/48
9WGnoR8b7WllNB36mFEX07BKO/rAnJp9hfKuWSrEVsrJPnZjE1Il0Av7JrJtEHAEJ+gL04HYaNxx
2xtgx4y6M22XngfdDnXKUvx5DJriYZKmAHDIGHBcowIqnB0ZNUNd/Xv4+Xb44dzxF49olAfNH9zb
+KIfz6j4ZDJsybOo2QSv5iPOT88oEgY6SJyOOMVwo/r+iNqUcvmPwzkHH8TPnDdjPvzw1Do698B5
/OcfNbG+qrZ+qdcyasr3YyrIhBsHo+PXW5vmGzPz07FOCIuN+o5sZspVPx8zzQtDpYPCQe8lOjZu
YjyUhT3Qa5LplaoYS0HwKyOwMrTRsnVUn160azfoiYsaCrPTQzjorIYHqmn8vTTgkC6KtJiSq4L0
aUkKlWn4p0Eiy+QAeBrtvPLMObIKb5RSWhW+INGxF/ocbOV2G+LAhhZJ5lXkcULJJBk9SR421PwH
9msSsoUaE/5JvyZnE0zCy2yO0/ZWTZgOHbMDTb3oxjY/mspob0eYCxFKxxkFK/FYQ4Hz8758wRz2
FPSxvWztzF9qZb5uhkguiyzeVrGyjSISj0Odv6iURTiz+AaKrewuCpRX/Vjm47EwITYYDm9PCirW
T/1brXKvMvRNYuw38XSltfad7Jt7ZmhXJjEt8W3q4d8aivmXt5BviuJl3U2/fxrnr/z+NNJTBkij
WTRRaBCz1/30NOqfINRAPDSIkM+NlN8eR4eBO/oBeOvgIM3ikt/uIjY9atXS2X7Jg9JV/kf9E6YB
Pm6ZXxvKzKtSTaG5/JF2LHwFfp/LQYytplhDMwXzpKe6lw75fVQbLmHhmiQz2pJlmjjcna12V1na
e1+o5EzYmvYyJQqbhaQXW7XbBojDLd4PskJEoIocyVYXpKvYiV+kT29Q65HQ9jnF4bTt85UD0wH4
3yguqf3dWbULP4Ij/4Ih1AMCh7sgaAmwRfd+bNxm5P3PjuYr0Fo4hneRE6zUQYv2WRre+yag4USI
KzfhtDl0+pum1N060BV5m1dia9vORVwO41od8pXSDNeUJcGylukuVapTD8k2MKuNpTYQ4ixQtU59
E5JGWdRjcWwsktNBa2wSVYRLP2hexwggSREE/cqZxnppREAwourGJGQSDqa1EGa9aOo62vWp86Rp
6OjlIBEpVMSgJmjkA5nYbsi2YRFp3oBdzEtr1C7WdO0TWtnCL+Kt6aL+Io2mhOtccAK7uhduUiFw
TVdTq3yJ41Qsogo1MPHnjZxkhOadRrTS429D6E4acTLWXepeGkGOYY/yakpEiSO6cR0zNl80X3S3
eKe3umKVGvhWc8pIa57DDrRi49NfMJ3Wi7lyLowSrAP1MRZU3FtMTkdLe2y2biGumY4rLqtMO1ZD
PKxURIK4asHKQInSN5Ou35oYCuFUEx9XrDtWLLGvehpPDnpCu/JPasOsIwzitR+lF03RXkq/8NpU
3aQyXxcDTCKyZPf0J0xsrFSz/YZ5Q5FW6ylyjmM1PuhFtjbz/omUZ7nLjP6aJgEj/JN845UHLnfp
W0+S9JwXBLwqbcQa7RoLPwmPolP8Q2/UL+S0kfHUmr6Lgtx+CpXMWVVOJ4Bp51A91AnlKRnFmpTa
KegVZ18GRXM1cGGZC03gqXmDKBRZtvvFLV257y1j4frOui6HbQt+cbQM6Rl+/SiAL3J5z7cmW+AK
pvWCUfBtLRFtdBZvsRv4GyULpzujLLi467RuYOHcuJV90WrjWxpWiacl1nXqh8GFTYR3yvrTXMbU
uOetEpvOIdbCL/FUil1bOF8YpoJx6E4Md3ODZ16juULIy1tcH33KpR4QpnJfODVbFz23KjFXQUEz
CkJoxwVx5CsG+Nk4nEaUdP57WhK4r8eOlkurnjlRAhzumDvzJ4oReq6uJtWutkGHC5n0FunEvYz1
xiMV+RiTyyW12raH0FTQgjPa+aaqfnJbEIffpr07KnM2Flrxv8fEb8dEFvI/PyYenpO33+9Ls1/k
x77E5gNmlyqKS6pINX7el4xPnBo57oHInYFsP1X3xbyZ6TT1Hf5S/XqC/H6Tcz+xhFpcuxyNc908
8fR9gus/J58Z/vpTRafxwUPCDjefUDkrMiPOAK74iESkrs2docqtc9KnwYUSZJV/MwxJjsVJj5KN
nMnm48w4r4Cdw8hJd2bNsMQsiN4mflbsspmOLuUMSo9TV10P3Ui71aEXZhDFdS1woDKO4EwgO1dE
bB2dmVQxpCreTcBWASMnYnLfrJhWcT8y9+T75kRChycvH+RFnKdrxe3nhmXcXbd9Q1l4sJ/SQYAq
j0OU6kRfU7XYTka5kXrAfkNrTLXHyWt04Jx5Vm/bSTuJRrwxBnUVGe4ZZ/SOjf+GSZqNUjQPSuCW
F7lfXFQhDN/QjHaakA9pGyxdJbzJdOsuiFzQ2i6nVTMxSupHwSP1m53hlqtY9R9J7D/P496kNivc
YW0vwfbC/I1MZwZM9Mu6JjXrFOKiMsJ+kdQ6iab0VJFSJRYcHKvMfKaxe26hf4HYZV9jN54KCfXD
L/eZkzjLrGi3lmDsFw8KSBkCTlMOyo2YK8oBzTOccT/5yoNbh1ejNCEit/GuC+iw4nWdOKNySHfn
aQrNZyxNFltqdo8J92cqU3h1jXpaB2MKSrcMX5sMhelYcrbItXEDKW+P5MfYZK5+ykuWIdmmmMjq
+nPph+bKqN87e1S3dmKLFYV9miWW7XGseleGhhSpEOcq7aoFfm5osk5169Yuo1wYU6HbXaVBsxV9
3dPygK3Sls7SCnLMtmowPo05Le/A/OJQz5sd4oLu//RoAqtgnOxpUKerylVuKfg/ypIJg7oN36E8
M80jE6hTTXzKnHGbNAOMG1NDsdTJt8GlRYwOnt5BGaxjvXsdQ6LZ1I7XTp+8jhQ9CmLo/4u981iO
G0uz8KvMC6ADuPDLSQDp6b02CBoR3uPCPf18UDlJXa2J3temu6JYSTKTAO5vzvnOyjpLrO5tANV9
ZmLLLqNYtVI9ZNHcH1cFFe8fa9W8yqpCM0FiNaAV5HRzbExWBU8DXxV26UIs5MXZ+okvyLo2SQja
E4vm1lXQ2XM8ktFOkxPv50G9WrgZbmYntXeZ4gCqYqy5oZE66nqqeyjRN3rDa5akVq7SKNLJQlCr
QOdq2+CBJw8402akX3oyHQpWKRtCxZOj40wLExlzDHAE9AQcY5pSh2E7Yhtw1OgKp0fFCahd6LJB
BUJhh/ox8rs8vWysOtkI7YnB93zXakr2UmqsvkUDxEpny6KFLbEGPRdka+kZ4msS9AzYeqBEdIa3
3LNoirhuhKv4dgmoWBuJhsahBEWYmD1bmS8ygT3GLQWMnha3Rw4/USTdWyvXvXwtNlQNh9KSOutp
56hAWDpqUe4QO88hjja+BeTfkOiAoTGQ0WBtcMZj7Y9tjBNFW2+JmsZz1y8k3GriOS2KcIseZwzG
dnR25QKLOcvISK4KWGGdkqpMc5pqo4n17xtaJDwb4alxY2qk8TLhjvJGCOap297EI+9aVcgCiqqT
NpNlW5AgWbkIqtOlZQjsEtG5qml0R/IXIrQMs8MWr+e8LUryEM0EjVKKiwrn2cmJJFZvlDGJmb2g
t99JpbtbsmGAg9sWmxj0callF51skZFKogTwquzCut5bsvuM9DD2TQ4PZDA5N2yWb8SFMxX3RZfm
Zzcerks+URZ7kNiKikI7Aq/I0P6Jxnw7GvVJhs7XqRLaJq+KY5+NjHu1aYdQ7e6fCuFbhWBybv/n
CuG+TUoM1/9eJKwv+65IgKyiagD5QZ9Yq1X5z1GS/i9L8Pz5tg6jrvh9kLSmAli2a5PnLn5bo/3V
ubr/4t+zu2B6gmrvv8zpsVV+rx+Hvbg0UF0jYeH/+FWYc32//1fKgl0XYT3XpVYbrA+EhAsyywSi
1Uaf1+HsNA0oZ3O7fm+G4stSLfEOi9mdoaxeG/ttHkCh1zLat7AXmxo4f+/wGJWGfan2WrMqaPJN
VU8GCyPEY2Y0x1tRWxLyYARkP8y8YYh7D8nWVTf3H8oaw2O64wdj1CqIGQhJF80upqfTBFl0o7vp
xerAadXK9CsGx5cAxQc0zHyNdfWHUnG3t7J9GzCBLEU271ThvCmTto3HXuOhGu1tdoblkuH3yIAu
mc34QpTLQ97PLI0y7U43++cIQtzOZWvDg0q3riJ2cLiXyZWGdtAy9I5egTFVO6hoOCF5YiTAHSo8
GqgWxR1w6tXgltxMgrWOan41+mKHcPu1M5IT7QhZRDhsJwcildvzX7v7Qm2fpZ4cqklauF+i56qz
nl0c4WOF3EB/71z3vRXdVbskT2Y1vWeGU/jwHxYfJf41WTvorM1xX2Cg2KQ9QIuFpIDtnCV3IDMv
Za1cLnoTshKDXziLXOdNO8UhJVUbSuGaw6Ia14o50n8w2d9AHbW9aNJOaWxFu1SRFkncOftKiZ+j
mx6sTjlSYIAksfujUw0pAr/iqp4NKCEZxVdbl2I396veMa0YNcrYq+fcITggbv1ULYbAGsIpMKUg
xifnq/Ys9m00PoaOvc0TeW2p8kqt2NAqitvsWqPEX4RAI8qygyDfZzP1HHNsxQD9qu2hUExCYIQS
7rjRQm+shpNqq5cxfwr+y/YtVdpbazCvx0g9RKk9eZZId0YKhqU39u56xGeL9dCnzUYtokea56+W
KhRAdchXTWkZm4FDYuvI5RkLZg2vsz6Gdv2kSNn5eTc+KG6PiqtgPLMwBAn0IbubFeLlYY2yINSq
z6JTCi+p6gtjdq8yYyb/AFf4xqnGs0TAGkzOVF3ZYxFxr7QOs4JEkMTk7kEFoDTT2+m1D+vUp8cP
mQd12MOz9ElmgCmTBwYSOVdgYgfca76Bp8hzervflV1PuuDY1vtJE6GnV+ppJtDcIOPGL9KE+Sfm
QaYOMc15g9BSFJfJagIEC4gBT9dbb4oWJizVazatJkpdvTP0ozJ/ZirsPiVqbyu7C/R5Shk424ED
JBpy9SdtCEsL2/hsF/WFovzM2Pmyhny7kq43ZqfEgQXgFpJacxvL7jWnGQCec3CqBSQvzthWm1Q8
+9B6nW5NOZo/Rdd+iRR5Gqv+hvDci35IM0Kfen+B+gk5lm27igvOLEexSWW2ahxjSvK+/6zxAoAx
HNcxnP2aNO0XpA4qSUJKRgDVRJsyOhbGLDoa0KeOl6fGM0/dBokmyJkht9572r4N+4HE54F86pR2
2kWdlNt4GY59SOVPyMOtFU+vaWIi6TcyVq9NRzRRxJyoM+iyCsvHIY//O57uerMhGoMRQz4xbGiy
BAluabbcdBW3hGNd4DVNg2oKL6scoq8hQzL2lOiOlumqqt07NzT2+jQ7nlWCWpVzjlWfUQo4qm3U
O/lzO1KRh2Q8KLSeOPjXG9tMnwgA6BE+j9mWx6rhRSJ+m8rK2gBqIAKrPPJAv52Natg3ajHRVklK
0wHOKbETAyPXXawmsJhw2TGaqe5DpzzGoWV4WZOfu3i4SUyQDQLaUZjoBHhhkwjKKOe1w3BnWqlD
ZSzfuioF/Fu34UaUIgaC2yhYbZVP1i+cF3Gb7JAK3SBZebN07u0mtx0Poabi5VMEhiFcyku1cVfr
RvOsOYz4e/JOsHhNIP5gM21iGmC/4plt1qW6TclN26KcepNu8lTVXEiIubdzH2Ew4U++4bhrvZFk
GKIg1GhLgB2f6ZDQ8enj3o0MhnOxQSwLaV98SsNDPOMt40z0+tQhVYL1CJoCuoxcmbncHGB8iBu4
YnMIjLWyjH5mpBfAnyrCbGAwRyqtnpJZDyYEqracP8zKvE6j+uuk8e06I31mpIM6tVW49GR51lgm
XtrmcsH5D1IXA4qqaYc+r1umXgJjNqTJ5yZP80O3NA+0+I2fl/qTMhtX0GE+xibfumH6wGGvnuhz
MNMTXtMl0RUq/nt3yfa60mFYjYdpVTHLzWyM+5Bhm81iclMNBmmfLYkswrbfMdUqftGixkKesmzn
yrnVwqIJaJoMzKwMgeuaxJ8hl+FBbedXi0RN/p6D2GaZcz+VNtqTUDkmUfRKQexHGTDIKa13VVPx
eru+rjIcmAQARQF923udTsZW9skLDhd7kzbWtSqtx8qwKIjzab9E+meqjjbPWE2iKGvjwJnKeGvZ
SHJ7q8s24AG4/FKtB7o2g8xetBerGy4JR2FDhfQXJgFP7RgKiJ/azAUtJX1lVXWRJYwUe8zJXjPU
p2TI+aj7djcvhvSkbqaeVLN9GmFCJ0Wa824FRDYC43CVtnlguc4HqWjTpnHIghkYubB5Gga/gohQ
AcDnqWo9FaDQQHOGhC40yj196UPr0o6WCW3CmEPuhBESSafHHVYx4Dbiu96ymwBFL52+ZC+mug9G
Ka+jHGGd3vXomnFeI+TmftKJGpsiOgSRlQeFyokbMlW9UXRvdVSAuuQ859PiCGEfZhFwh+jl68jI
WKmtT0tV7hXGm75drDNmN/u01+kw64v3YW5PLic5MyLzvRvsHQLIFtylRmagXvruMhjIMbOnqCg6
Dza58ByUyalSbKPwTXWiM4UB8YuGQtsl02NtIrOv8TBdiqQ6hE3L15zsJSL3aYP/4l5rnZJZrnJr
F6QLCsZPBtbtaSVMWfHC0L2uyqDpsY/NJk1VkTW8HYNNiDO20NIq4+Qwl3WcGeyr3eQe990nuX0F
snFm2ADnt+ogcYuuA4JWYzpBNAHXwoVuJX1QmizaZVbfWQl/IyKvdMrLied0W15MRltuW8s4ak7/
nhYMmvFKPDXTt8mB+rBAEpnm/B7abeGPHY9UW30ja3wVXpXYanubFJ5cnuuu3ZbqhA1txmLg1kSc
91b61aU2jgfyC+qp/LoU+OJZlqLjXA5ClM9JykrITh/qgc1CR5VnZzz64oYrM3ZHe4cogl9S2jto
LZ8okxqewdOLXlDzgZEmJzJ9xgJyCEMS5rPyFTbuW9rLK8NokBz1mh8V0xZfMiel3gCus2+nmJAB
s0Dg1VR3U+fua8M9uJhdGjW97hfdY20zb2YdpGmYB0k7nFvkozKpAUCogzh2KYbhJrJFdpOXi/U8
V4lFdrxiDvwLs68HPPUWk/paOf7Tg/42pYZb9p970PNr1339O8URr/qjBSVtxHUtJAviG4j6hxaU
XnP913/QR//an9KFUt+sbC5WpKb6DYj9x5za/ZcNyZPvyLAazYP4r9Ji0X7+3IWaYNgM02QqTpOM
1ffHLnSQ7qSgUxiv5lHv7CAeQkjEMDpmJHtJjN8/PPVLFunBnA5D9qhJDbMpQqmkP9RLouIDI+L1
3M3uuATpJPqFGIy6rGAml7plvk+oybnAqT+WgCqAMRu6y/1kaZH76aqF1t/NXcfN2Se2EfrhvCwu
ZqZqxemi+ETU01iR4AHUZiMbwQV8JueypEwNCsF9Ghi2htd2JSSg/su0HacFhVM7RIb5kGvEe2zx
ph0QRjH0Ki2j39fKMO8nfZbp56g70zZK0VAGUZQWfUDEirqHFhwdldDJ3xJsur5LFpiymet5CJQc
xejAqglGDqJ6tcAGh1zCfBtMNmHLUui7Hrp3TI8XGTtzjj+tUSEdr3Q+mbYbm76IisCu+RoZV5hr
B3iaRKGNpzgCwOGsg70oKQSLZYyzSA0RTdgc4wKnKiwsVNuwW6F5yFXHr82Jundag1l4iPdec1Zx
5FJFx7pV8mtjzmPqb83dOXX5NbMXc6fnehRg1DV29FlJoOKnY3VggwYzZX6dqZxzlHk4LyhAi6YZ
A0ch+iNy9K8xxIA9qhAui4EGFoInhLMqsjeqpbyR2hvtrSWXAEaxksVt+2mPYQjxgDG9XbB88MeW
MIO8Fzwwq6I7EnyT+kKJ0wt+Z5DZlVUds3EAAZnS7ZAVR4U3zjeuG5q70a2KoFuTTqCwQZVpDWcz
SvDY5dLyazr6c15mgtFbGm3alg6Dqg9eAbllnFgDqPRKT3dA3pqbiJyZzRSN/Y3Nc3OzzFoDNGSe
sSlXIt8uqjsF3VDBhjKmOpg0W8IOYXcaTmW2J1g2Zjmd/g6J/Ud6oqEI/8Vjs+r+53/L6Gv+9e+U
YLz0z2cnak2We6zCBAqgn3XwLup4NB86j1Z2en9O8HTjX0zTBMM+BFUMwld04R/PTvFNyMljFWuv
jRL+v9KeMCT8YX4HLVplzYcOnwxR4Gbr17/z76SOzci7BFopi2AxbTJxdkbz9N0H8/te8Yegup/y
Ptd95CpqIRRBMw3cSuZPWvsGWQGaTDzBfZUmuV85KlBcF16AF+oiC1K9a5EuC43AUacEvBOnXr6E
p4EV2K1axzd5QlaLGSfnUVXZ32mK6WkOc8FcS1RPjUizF8VBDvFFMlBvSO2sLuNNN4uLZqlOU6tf
oUE9qmk2b4qBhjClGdza6+OFDLuZ5aH7QRgjBrmMsiXtyffE6/4J6B79SGlBN2ixyeOb5PWTTcjJ
DOLQOo7KUuzCcbKxKneQIFxBcyIXTo2sL/E9CeMx1F17Z+em/kUUEBYVkKu7RM1iK4hlU+dBNTfZ
U0XCJjUNKMB95EL0Omg6mBa2G84l+o6ZcTtQstW5HMebXq9153ERjeXnjch3rbJY5k6rxmkBoY9Y
yW4ojYp+DjcqAVxXZJwqF3z/2u+SNcxgkqdKKXcOE3+fzGJmcKswt7WdZK/nRnaUCNKda35ep38x
58jGFjlXQ8UxqjOxac3pOtaQrzTR7J7c1rKPA+uJF1xqxtNgx+h88xmbTV9Kg5kMKzxPCJMwaYcT
2aKe7tyHqkL4YaFyDSAaGr6op9jLJajDJormwyBM2i0pmUfxmZ/p3LvXjmXvNINwmZl5btwmOSii
0AKU0SgGyZ66XQb2LuqcB26lubeI9MloTOEEOjODt6ouME9khj9UGgrk5MkpTEYcaDZQviRL0PZI
DTukzGydp+RoEUkV2Kytdn2fa17J0OSSMYUYNnPT7Sx92I9GafvxJLqbiEUTJ0xxkZT5BcSwclu0
yY1RmQcnlqkfWvm+SshyinT1unPHu16zh4domJzPisa8IxfTGifrs0qkbxbAmcNGu1cV5FJWTxhU
lQUunVDmsDWa2J51Vv3Rdf3XMmm/znhqESb6ONmP7lRseYBgilt2xqRezM7g626/10xxXmjaonZ4
U03JGlnZ5qPG+QNaT87vsCQ4t95DVWr+aOU6pziRNZk5vJhW8pYvlhHQEndHNogRcbzLWRTioEfi
wqqlP8rspebP1/U6eyXHDsLBQubl7KW6vExhF0QFWWGN2pCmETHG7Er1ACol9bWZhZRtX/Meb00C
ffwpWSL2xSHQsUFNLmIDf2kcips+L7uLselPkZi4mCEI5g2zvSzkbHSK+eRyE6mVDZuy9Scwh06t
n42pelKW3stM+06K6KZs6jMuGm8Q7rmQw03ssq0WdSDIG6FamjYM0zUSD8baky2x9VGrXmZK9qXK
tC+Ys49Jl52q3DmmUrtZRs3PIbRVeX5hGjT6eTOfFtumFqNIcOANNpm9R67kuy2b0XhiSrmMzLeX
+dAsZXmEmPlRzGiclLjM/Tkiu8mc9GzXuPUu7DTldpmVZvvrJ+/f+DM1BysA8kUADXzV+en5Hs8a
CWRWDn6pyUQw5O4c2MOc+QUsy3NfIImyB/CBVVxQNS1ftbrpbpomU++dxWHvMk23sk3P6hT6mWs/
qVO/a2Lrs8zSCD932wbEpJFqN6vbauGazkPg8KHZeSMF6cZo8DrZTr+H8fUG91R6Sdo9CjyjwaD1
pFqphMnnpTc2XjcdtJo0lj4sd1ra7gT5WrlgQ1LYH3Ne3Ek7PUr4d0uXHxsJjKSuzk4n3F0/ziCd
5mQvptj0iKP1LMSU29hIdxHnkt+p3a0xS+YGsXVUY5f7GsX+OeyZ8aTt9JAmg7FxLSQIYhZXRkKc
b2NZuEST7GKo2Q516SEbzZ05IpVL8uYQlpnL0A7OIBOZLaaYwIzqcx6BGrRLcZXkI+yEYs+5RkRa
DbqzmrstY56rLM1vYR6xBi+H3LdKJUFWRrHXttdMPge/oG2n/ksfjNnApDklry480WTgYpq4QB1E
GJi3V9TiTqvZrhkacTezX+iEgrnGfuQ5pHfVR+XaZ7UBjha5ykeoWcumFutcEEtVlhfaQanXZ1l/
TmzrWaj5VlXJTQEG9zIXQvPSbs5wvEVX+mJqPjijlaTLEBZao3ysmG+e0EK3FzmV7OHXl+q6KPxe
kk6JYKF9hdYMvBPR7U8lQgpcCIdbAfVQriklx1bI31Ro/1HORMn03U/gW+o2bSI6HBPbM/vPn0Tv
uoUd2XGj6DInmUWxrhKZ7JP6th0x5re5l1jN1k2DX7+r3xIK/npf//5Tf1qQyjrra0NXlAt1Lu9w
UiOY4h84FZ/p7mYgHTjH2Hg+WaF+GCSE52GCG5SX44qMTCqvbJfnSrHPSW+QC1HE29wdtTcnNmy/
UNMHyylG5qIk3uTGixVm01HLdUtyNZVVIBe7DJxaaXytHsjmLuf5ICdbf6tKQo3ZnehBkiTvoN7J
pVbJFeMJPPu9Y6keLfWdNPIFsUn2gHpCHIpIv47ZsCJM2HMo3aOs3Vrd2G2gYux1NVYQO1GhoBgt
GXxK1WtAb/rtaNJCJdOtiEv8zQkBnXpksaGdT1z0n03H2qWrk0NrENs8GvfTkj4ZanY0ewhw7Uo6
SkKdxWrPYtiS5iFb0hPLQ7+cQyKBSB3hgMl4yqpPg8pmLEmLCyeedmU7BkO4cAWrQdZHBb682q/S
wtnUS+r4bR5e1Kh/4SbttcpaPCea7vD+UMDVyr3s2SHreq96i93vSAjCXi6rVytqLlq1uGmwJGGm
I+pKQ2QKNA+l6d5G4OLXmvZQzvF+CmG2Dq28rC3OSCjTB/q6r06jSi+E9dGYxi6qjbM9/p6Z+x8v
8W+Rz7+62ugovi/nR4MSAzqFcpGey2v249vm1DySnH4gL/6Mxjv23sW4QShzUX4ZT7++1hna/N0N
hm+DlZYAUrTegN/1EniSnDJjWntR++amPAuv3kq05iflyd4SJPxwpXjnpyEgVGB45X/yy/msbo7J
NrwErVP8P7/Nj43Nb/edrlJeAkegjTJ/cqHN6ojOSkvjy1i9Bqy2SdSndtj/+h3/+Mz695+xiiO+
e8NLW0gljvOYw/Vr1JI9f/Pr7/+378FGd0nqj24x4vrx+yOtWBCCNRzeynVD2lNrUnP+9oT6p31f
743/3L5fvCK9+XfdzfqiPxp3sYpz18A8rp41I4Avfae7+eYct0wXOSX2rr8ad9IIhLpGIOGu+l3S
+0fjbv9r9V8adPScQAbN8H8jzkVp+8PttopzcbOA8GDwyW/BN/zx6iBTEEOJoi5XehE/NiCuALnN
EOhrgmW0pdgiWN9pYHfNWeFQcR+LigekKqfKZz1ynzqkkVb9oSDqphkcwmFsG5p8kFANP+SVi81d
qDeRUraHfkwi8Nd5qrwJdGDMIDV9iE92OBSTZ5YqJGRMDfuup6ouZCpvVDR+sE+tuzFbn60A3cl3
ZnJV6n4ds9Zopup+npXHyiwf2JLKjSoQwanteLCUmShY56jZug8h/L0lZ8DMynETpeptnYprRDWP
YuhKP+5R1Ib9WqXhipFh+Tm3+MBjsqFDA42iaDndTDFdYSl4ZdtJtO+gk2BexR/NWCzYZGg53MkJ
IrWHMFzF2jaDSoApWzHmw8ji0kMNedKkfaUTmSw10tCk7eFstVFzxvQ0Yji1Q/0Uq+6LYtgwb3P9
Jqu6oDeLxyzBc92my0PfjttBavWlFq4bt+pTsGke2uTWlfVAj1+c2bAdtGJ+zDp5UqrhU23N2VeV
2faErksEnWiEFCXrgZhl+6ZTak+PLQ/qLJJ/wYli8ti9Esx2mQQ2lA89IczkRHv9ymas0OzAJp+V
wMmyxSsnglpx7b7HM5FzOgLePoTXSGSDVzriQL7YXsoWDBBoD51aANFO29TMnC1Z7HoStxBK5MVB
71uv68yLfoKRoldCeHE5bA01fMvYbmb5RCyAnPy0nF4jixAevqdX5S7NEyG6I7sqHLvKq9pGqdcO
+Ja0jGYACTaYF+eCMdkQOCrhAIRkWcRr6/s6LVcjEK246AsklSJiGmATl720cs8eegEHnRtBPti+
U4DhorZmgc/1fykZHNmKcVCa7pGB2l6V4nEcUFdEcaf6fSc0zh6Rnhn2wyTH/R/EJmGC4UCyAZF8
hkf+YLibNU29rCdd3ADGsvdJNuxcDBPo0Y9F1oVQMsUrx5CJeHdOrgjzJLgBgsLsFGyjwUQx5849
cyzf5q7aiiF5riIInG6fBREp2F6azzkLNTjWJDx991D7m9HbTyeIqbIPIViKswPvKPbvdXHy3QlV
6xPATcXVrvLiITM+0GT8v4X73/wIHHK4WVEnalDMfzqk5jqaujSxjKuse5PZ9Vzfl+5vIVP/nFHi
l2fUdf76/rX990NqfdWfh9QaOssJYFnWumJbc/f+PKQ07MQGc2fcIya9LuXaH0ZjkLj4QziJBNfh
N/vin9Nl0CwYAw0qJ6GhIQUd9ZNj5JcOkm+bt78K0vWQouliBsHFRy1mrA6X7y9APBuovg17vOq5
EhFFMO4c5lt7DZbO3eiKsNf0HYJ4iYpLv9d7wgMGXQnvHHv8JCVjKyxWKcsaWh3BiFXXGOvCRirH
wOitjYi4nnK73dA33RpuHu1Utwp34wAzco3Gjmv7DVnknTUsT/Eani3WGG1RIzpg3oH7rT7qNUCl
Yg3d1knfXnJxx8/Cw4A+pB0xBIo1qjt1ZOqBgrkAtvpgYGAG8BZ9pB18EHK+VWO6ijEqAGqCmEcS
uIhVdWs4OvEeTDEQT1SBw6h/YwuefkWOPzhaA7AbT29keuCuQrsD01pbw8exdnREQhBILudaD/Qs
3FlrWHmlE1se1sY9kk+MMK4vdT2QdadumjXiPCnmw6LxuOrX+PNIXR5N96MAEtkKoq2JSLeH/pnR
XOLVKYMAXACkfc5k1VmDZNM3zV8hcB8GzWbRqLAZVOPHSGMWzmnr5U7ebAyk5hER7Sl5wBB0L1fP
T1S1jxVR7lLSfVYZ2IOFQDvbazrtwKzmRqwZ8Ng9bh0+oRCf6Eap2u2Y55ctsfEW8fHZtDB2BWG2
MddsedceHwphvKSEzosa5RPeVGPLOL/buETTa6lzr6zKNmtRH5MhzdnOpjAaw4eaWPuaePuoZTbT
EXhPaOyXaVDua12ep3i6BZu3ZdH3LJX0PcdmtDHNGZFfzf5vySvstV3zaSMzVCX7WSgVF/yZziOK
o4YzNDQ+SUcIQsHbGeWyre3VWWkkdxVuchRq1UaNbLjs8H/asvqig0XWGbphp59eDQkInoucmKDV
uULsOHzI/ANe45Pb6mATmXGx2jtikoGN1n8QKEKaQ6zfm12EmRU9Ln6oa00dUSRlw+RjwSAeQZlT
X4mlg4rCqTeYqx7Tng9pKdnlmhhmAVqK2564d7cuyDwpgEKg50R3Go3RpZDV49S9MMrSuedeCqRj
rCFYGUcZu+neeKiaebUJte4hZGK0Qag57YwBWbcq0f/JRkuDed1mJkr9aZKH68KGbPryJozDdA56
ZDXLw0CoCLUCs27iiKMwM+7KUEeAokT6Y4J4FjW0vKOA5qidDQpDg7HpOPi5g1rFLt0dYtMO/6Lj
+ORP5scE/HRQDCDL6lF/qQYzDZaF2y2PuaTLsaegmMg+In3LUxKCfBx3unNq1H1VHF9N8fIhvnlr
I8dnfLVVR+nLjBXCwh4nKFms+BmzvNy2LyeDDXedeIvqPCVmuY0dLKe9g0as7w9ot1heQxuYqmt0
xluglL23KN0JjSBl49AfjbhkvERSb2bA7Jh1jeku+4O0vZ4a+eAiym115MhROL51lvFYVfpzoeLn
FiHIs1wH99Ysy5YE6UcTBzNMM/wcjq5djuFAUsCow7iNc0SxBIbpmmBIue5ievOlVtAKi0YJWj37
nFH11an9WDcJklDjDRIqs6SCIO8eaK2sVAazMR6cZsSS1keKp4baGzn2t44oz/zxgPyny7jpM/sB
FdrIHQJp1BydOECf5tOSGnik3WWT4oOGeWki91dO9rLuSQS8bMpV3DC3zMwPUmhH1OynUPbnzEQU
h2ehZ0KEVoneAcdSUqCQtGH4GQUBDWHWf1UAx2wrt0m3PerLTV2rl2XoKkyuJaFhpXZcovBVmYtz
nC0PyqyL1SJL6E6T3s31RC7iOO5RbJaIO4m7sKPmfawogZUWkF9VlA+JY53iun5PGO0galMLVIbt
XinFg71GcIU1f43cxi2MFNh3QofHxniwC6TToSUpRDkd6v7dFaPBaj3nWusKmF+bXI2U9tiqawi1
ijAsMCy323Zh37ms/rre/of38BsbaU14/XXXXlfd69/URLzuj5oItZKORNmG9kD/Duftu5oIkLYL
BuJbQ+/Y1LJ/lEQEJSNTIvXvd74chdRffbvG7aSyH9cN47+GZa9b/e/m0JREDI4YRuOV0dn+UzP/
WBKlrZIJexHxVaFiIbuIBfz3SVNjhxSNsoyuK2U0j4tsrC9WbIyMlZQS3+Q4KeNLu9jdoxsb1Z3r
JubiAcQfCcIo7f6p06VGkB/Ba4EVp7j2EuVxErRjCPENLxci88RkoW4sdzLSruRg3Uf5/DpGy6uI
Q4Pe49bqnIIYI3UnchC4YsahpmVWMA2hT0bNkfkoHMwOTyIrxQ5Z8vyaNS0DXQxzG9Zta1wIVpuZ
xZGHjWkN+pjWsCcHG4R7MKKWQm0M93Vh3RqDeVskFvBinf1OOF0uThv57kCnXjZ3tS6+xA5mwiqk
ey5LtN/Ip3jmJW7hsY1mx2OYt6llnwenexYFGE6rzM/ojE8yziRZxIK8qc7GvN+i2S7G2vHqJbsd
mvqhMZb6Qm8x1JM1p21QjE6bFkUm2V2rUzJHAt/rrKQnROhnaAWAaepnBNWD12lq7Uu1/bp07Ywv
ccpxs8h93qWUncVey3q/tmEOz4rrGQbnDQXxVlb4hOOUzwAcFFLuwTH3Sck/GcMkN6VbPZZx9mG7
2Y1jxL5T5+9aFt9bFdr7vk+NMzl/BxydN3B8iYowbcAXlHUIfa1ztPJmqty4jS0LADVETqbZH1ZV
nhaW9fXssCxViacrS5ugsKFKQWVMp5IU5V4dsdRW5S5PEB0LQ+Iv0CgIm/IxtTp2UxxAW21KAqvu
70g9w0gzMheJVWdrNPZwKdcUL3vuCEpujUOfWcUjS/XJbzN5swx096Ye45CSDHqgpvvpLB/aOX0L
h5EpdNzKDe3H1m6dJ1AtzzZoZsGIJi8iFl3rr6EOt8oM7y5crnJ0110i0KOjW56rS2OQ59zNrpfZ
+pJYbrEtif3atlNChQrWGWzWfMLOxdDZTM+VqBgHtPziivOk2LGy6U34HFo6hZ7SJttszMDRF//H
3pl0t22t2/a/3D4yUG4AjdshSJAUSZGianUwZFtGXdf49XdCiRNJ0bFfzuumcTLGiSPBADZ28X1r
zXUkNnGn2+LU1Va5aGa7sW/qQKrLJ9IaoJWrOH0SfyFykBOdOI4hSW/YTneSTeO0KymnefWNFZlf
yKk7VKJ9Ub30hil/C3ZmH3UxaHmy2JwmsWuy1ngPaLC+JUrPJzaxAbWGBHtmJo7cvFg0ffDAlh6g
oZweVU850SxwSzv+gtXNsVC6I7zHxZlq6akhymufaRTi0ia7DwQFYgoJ6kLimLSTkrZwjDmVyIMu
4Jhp+oyiLV7hUrtSau8hIYbPQdiJQpHmoW1N+yRrDq0CYKbVH8G4P1NfIweLi/bqVQTQO/FIRCLY
pwYLomtYSQr4t6GXHFqqnYtMt7BIxBk72pk+qbC1MIILu220XahU2VU9xF59MXTK3BbPiGUDt720
7RKdQmTdtylwFD9POVqV9IjdMpGbNXto+qBZDgJt0NXTMOoXVMOVy4APy+GdG8fMpFZjdPDlRGMO
91OZ+edKUZJdRCT2uuERrPpESjYKbmK2EhQVCef2fHnRiSbYNJLGfpm+FFmNoIBdKYLa/bo6/Vu4
UDnH/2SZfsm+5V/D7BNC7PyDP9ZpCuyAAsmgVClu0fblj/6sXei/UYHALYW7dHa90g3+4W19LXgA
GbQpqKma/pbKRO2Cdo9MqUNRjX9StzDEh14WhTNDU03ItZYwbNP+2Cw24TtYiHOloyIlDpYSxZH1
6cXr0TixkxWLVpNd9CxuNfppQipeUZ3tKpWuVLOTCHU388w8+75Nw9HGAb7EnlHde1Zojl+xiuGn
4rCPAwUreUQqDmQna8IahhOpZu+wBhEFtG+2oYNZG1ZdIdluhUc9K2L5q19iWy/VoXDz2creE1Cw
6GZ7e5Pz32qz5b2N1eqpeLXBz4b4KeiMiz4zL6KoIqQSKTEZRbRd8dG3Kvm6A0bKbrbYU6JFuDuX
X3Hfj7MNPzWNFRNEd2nNFv20ivyVPdv2qxFmBPh5DkQxndAcfZLGhntlsVBzmsH6PyEt4dRVnyKC
9xbZ2CSPLH7jtaLchzoBvbUUX4alHyzpcVxFU5PhxFIOo8zWxWJqhFz/tQ7JoLNoWugNuavWjCkw
Z2BBAwf7InuFGMw4g3is5VVtzIyDig0DEyrgg65AK8ZrkY4YPCBZwUcgSFbDpKNflDM6Ie7y4Wpi
2sbrqMdXA4SFfEYt2DN0gbQPfiieptBlCQD+4WhZAsJkJjVUM7NhesU3DINuLWtrhjpE+EUpnGSF
d00Mc7HuXpN2GNjZNqu6jskM3IInJOsQ6iB+F43tHWLBD2cHpWy9K6UNHpPAIGcuE89+hb6jh9i9
op/0GCuNv/Ka4jvbjNRpJH8PeSgF0TceExQ0WFDS78FkLGmsN8cRxoWTmuQm6JUVExARU3bpxLbq
SvNCNSj/d9F4HUQQCtQ0XesB/7Ary1EGg3qC/urYDtui5y/QvHq5q65X9UM32y1GijsKIQDayTDq
eBZyj6DaQctqJI+Axy2ipNnDtpPxs6G5RIgs3Ko0yp3QmcSlPF/n1eyytKZ2DX75aa7XN7DDHFyj
9UU/gIZKOl9xDd2zCKJOXSm1v6lSTXBWepW37a0naYe64KC2UKXikuTmcavOXEx4SZvZf7xI6VHc
yJHnrSzrpZGGXZggodHN/Rjk9opcjXU5jCtBKB73TBxItjdSPOmdtDOUcJ8GBEuGreEdMquol6ko
QHcF/nUwDv6WvM0t7KlNXPKSyEK5KPoQGUlk4kmMrWe/7fkCRXiE1UQwYcZiLDVdCsKcEE2RbO3G
WFlV9ZxWiL/Rl8F2+C7MkKklddnVu0VcOnJHe4Az6bmgZxAU0dYECU1Et9Mr5GkFDUqKfkhurUQ+
smm7FZ1sMUjtXBw9+oQXnjV9L0rlbEztdk4+0dJ0JRoiweRg2BlS7OB9eA6EthZVt6p9ZHmRYZ3q
ODtbufrNpgRCdVJ7aezxrGPjXaZlAdtrggtMMgrvGAkQxBZ0U2idnI7kUORe6Vfk5zf9PB6VONpW
bXCa8uGYWvGMrpkNwBszzR0mUjYWhnxFmi0hfqNDYus289qlZLEBmaQ1m8WNiewkLSip1YMrGbOa
TA2/CmsOJy82EhCVGKfwWOTHrJCtVSZTOWtA5EStf1IbmB6dvxnAaaW5tKcM645J+IxUbDHGg1Py
iag6tuhKWVIVd7wmeamSl9xrzwNS28iSKZPRf+kJvC4RjU0gonWuQZ9L98gq1K3ruhEuxxYABMNZ
H+ybJJpUEGgwPYiiXKd65diezQj0QJCZsmvZ6feRzj0znEvMm1MTTywsaDN+HWxpvG2GqXqQlYYt
lnUtRPFgBfXZp3rcpt+ysXgpZRld7KAsTC10iQWglkDGra+vAkyBvhZcaRD/8047s9n8rkhkdFfy
7FNbFLK8kexuY9WSKwfJdUSGYWMotxxtFqYHQVwYxcqToEvLrcuneFnblqto9YXmjVywXBFzPnD8
ATtWehnccvUrofEP/CqdKHG6srVeEDIXECkQ9A4c9Oc6q+keSjscs9tJMhE1k/3dVbEbwPkH00Bt
izhmuoDCXKtNd5+22VMDCWkszK1pmvg5IBLlTbXJLGNLlgxHM8NGBdg99JV8n1fROZeUtacP7DZb
np298rNmYzYGo9ME9dldQfbdFSj3Oqm9TkJzYw3e0Ztj9PT0gqLhAcCftcja0E0TEoM9ecsHtih6
6yqq7D2wmsdCoMisaKaqtnXrVeKqrupjVhtnuD7yAh75dTvbmfEPLqqJc5uR7BPDh45dykQ0+Ydq
nqim/GGMm51aGeuiCPiye87nvVP386Yn2xHmclsV44Wi5jsJf+aRRFXvC/6k5LrGr+FMakMBiTzy
vqeJG7PwRLhCxW3UpOZWRX5Ifbx5BMfBiS3G5Q/fKVS+iZRGZVM+xFWwlVXlyHyLL6aK6fzXO2Oa
pUtE5FLPVB4Doy5cW4tv0qoBEz/E61hTTlFMjlFM4EWW95qLRWDjxQLrp5SuQuqGHcp8k7Kxo4zq
HO63MoLsNPhiHXnDxYAZuZBQcpNh2sC9n5GsfAF1sog6c9W2/qoKpMwhvhtJfEv+F4sEaK5NJ1nf
us5wAa2v/c50Q3lY0YBl/qmjAenj5A5ptqM2uasa4yY3KCVXQBLAAC6akCIykeUXmUrUlZzwndJo
V3IAks1hokRSV8VX5JkIU2s4hclw6HS6z6nM8vdmS/v/1Fo1UDqpgoieWev0UWBEXbqq2jCTjnK6
CaN4kcdnKfjjAPEfBV2z6vGv9hmqJbahtOroL2tAjOgSva8VhVIqCzp40nGwvlT9um8fhxyqzzLF
ZvXz2/lsw/v2Sh/0l7mH9XnyuJJqXQY6xyWT+vi0zcVd1D6FuXB+frm/d425Mb4m/CAcBkGFv78x
oJet5SW5f+qkp6bdlf7XLPn680t8dkfsltkscxkN0PH7S3gCApY9FsEJl3HUr9txXCXkuKb+OkQo
ojaXP7/cJ3cEwoVDC612qnrig7y0I9VdHeUmPAGPXoQavi344/Ev7umD4mweD+8u8kFNWntSYwiP
i0RU05pqH9nB8v/vNubbfKMY6JqJEggMslNVHAj5cmKYDWb4i4tQgf04rN/dxodXU8TQp7u0Dk+D
RLKnQcjUCdQ7E9wjzUxRH1Vc9v/8toDugVUzBALgj1K6OLTg1kZKeDLLq1L2HZCzpvf9n18Du6vQ
hcY4IGXp/aODgSAJq6uiE/hPUsNoZOVOn9z+/CKfPTqinejba4pm0r9/f5G8D0wzDIeI9/OYCWIQ
OXswGdjeddTudOyCvXf18yvOY+rDHMQU99cVP7wsFMo4GpQxOsnoemBYo0L4xWQwIzDfXGK2ABuK
iUmYmF4dFPNH8Xed63hRByU9RXvkZlsWzwPcwZVxFZwNJ1uFruVI7s/v6v0lX2fWd3f1Yb4j1CUd
sFdGp04gYab2qNpMCvnm51f5/NlR6JdZOQ3xCn5+8zWJCY1Fg0775JVkwCk7C0DDz68wP/2Pb0dH
g4hFEBkO2qL346GA066M4OlOJkff0VLZbT6FOlHpUfSLe/nsib290ocJjhMxcBZTRCfFeAmsK8O7
LqdfTG+fXwIovmJjicQh/v5mQnrclj758SnLjgba4QHglNqKXyx1n31CDLY/r/Lh1ccVwLDR5yph
/DWRsGrQN9WhC7dO3JykeJ0Yv3hHf7stbOlA1yC9shSh1PzQ8SF0xSToOE9OTbcGI9QLAjrPPx8G
fxtoHy5BLe3ttJ11Pg80KJNTDy9EkUiWoDH731xCs5gL2PBQZ3t/iWgYSBfkpHWqk6/StKVJ8IsL
/G0ocw9035CrGRTeUG6/vwBTp9kr2ZSe2OelrUHfZDs3uDP75fVG/q3KqnySP6nKYv7he3xh8W7G
7bf//Z8/Oq780I+K7CvnwWJbRgMNcJzBH/1ZkUVNZphYmFUEZXPh9a+KrAIcgjzBPyj5c1P1j87p
KwECDTVyaKqChAT+I8XzjDx+M9XRONUho5Iopigqv0t9dRm/mUzLvNSRYkTBCd2UYW3KV5qCYR4V
bPq0efxX1AK5Dz3chbbADY/pdQYyAFZvKtd6BTX0r9CG3qo3oAk07xmbXySverL2pB03TWiFQnGM
zBhMFP5Jj7OQFN5SD4DdKK06MCdNBrwWJ6ltD9+fmZngZLpRiIYDH2DPEVZ9C6ieCPAy2Jh9y1hO
IgPo2oB9dlP6lR2BHYaqJMo+qY6+PuNvW1CJ5soHzATPwBJLeWpa6cVAIrr+d+i/Mk5UxuPPhv6n
vQh+5s+Rjzifgj+TjzrLIufh/WPk81EIAJsyR2uIJawbf458bRZLIvfnm2DC+t3b/5dogJ4GfjJi
mGyFH/tHLn2Y3x/HPpmdbI0UldAYk13s/Odvxn49sfy2RisufS2b9uSUyQWVJwuOz1IaiOCaEIq1
OPskcoCSpdV4Zk4xPSXutg2j1+KhnBysmctJqcjnGr5TIwvXKQW1ekRJBRs0JfipN5Jh0ZOZ69/3
bSoVy0n2wRIBRJLsYlvrFaoruzPEcNVGpkozUsp91zQqiSSF7F6VKRHSs9k0c9u/rrtmUXZ4EQns
TTkPSbXrtfJNBDGrygT29xR13SifUU2DVlNmxZNX7Io83WWlt1f64W7EG4bnnpZ3UaTrttjSJqZy
5BcA5kQUOiQYQBkZzH4RWlQJWm/CXzlMxEbbqOa6dpFAQobZFS+AI81SOaI4+9S6mDFq6tAMy7Dt
Hhoq2AvQwUR6ygb1w/FU59no9qLDWtnamLa6snE0cxqWcUOlCCcfmWwGBQ9C0Vd4q8claqfS6a3u
m6QPu0SCeNfSi3BST/k2DEWOJ792oQ5sQoNaIKGa+8hSCwdM9F1rjCRclf2+btmAdGGnrgjavZZo
kZdmq7pe7DnpTCL0CNvbsk/2F4OeX0ZqfgZw4rCzANI2OQFgwEVHAxt4KPK85IuOhG5RBaBNNbo7
SUxGjo4PpPAvdC9dVQUcO9z1AJubIUL3kMeuNZoSbe/mkEo01VGd4vvFB6/4/n2LCIOToB2utVEL
l5LwT0xneEPtxkH7d9ERcb4o5erez2ksTLGxG0fluvGHFUl46GAHUq+y6Oxn3T40tGVshnMOwRSu
PAMYVYHGflPFXuDIg32SjRwgZKm95IlSbxTkQHhM8ktDIaE00Gj5a/EtW+27NCrhwpZHCTkXwrJY
XehIOx0ridwoSe9601rOhIdW1h7lgrRtk5Zw1yfXQ2xsM78E/jlXrQOL4+dYRx0DXQ12eJrBpdsT
csi+v89YD5eR2twPXn+n6PWNXmN4gNizzgL7GNUGxE2aJkbzZSBnAVYEpbvWjEl7jcEJWkq61Jr2
2ouwvOSR0lIZ9bd+rfubsinPrZgeqbk/EfwXouSDImlHYQnKXFccXW5vu5CKtBIDashFcCFJ+YVs
2s8ZShn0pqXqqLlyzUnXDSv9BiHwGl7gqScNmk2zdq0TDry0AtJhtEG69AP9EJqF5BCZ5g5hQgfO
zNaZMj6n/jRsIL1v2g6amhRYtpNJdPG1NMndpskeowzpC6HwGLWHydrZ8mgtiZhbozGu5sRIN+1N
BqmK/QKUiVgIqSdNcjwqik6FHZx9XpGebZqoSr3gAk8OuDtleIlD+xzpQIgEScGUKIdxUU/j975D
xtJ1aLfRSOsOZyqUO/Xs/Tfxw3pJe43FlaEDzgSeOVi4vAiBhY254eh5sIn94VkETUb8b5atBmGj
TSgPiqS/xPRBcJ/AL6poFzpGY7pY675Xvb4juGUzTvljZvoq0qlya2rQKAr4tXJVdq41SLAMWzRL
g6pvffBHC6IlZ/tPdFBgBBCTCKw22oFXoZxMLHASbYOmvPaC8nszkPeR9dV+zL2jkIqbgu0LjVJ0
DTKlXQgazHtVSFUZJtHKzNt+HcX5fZY3o2P26BcTzCWGB+K7h5fghF1/Z9dI2NscglKX0aOCGv84
IJvncxzIyGzlmSeU42tSIUeMwb3av/TVSECKgTcrG/VdINLHYeSJKja18r5RITfkd6+0ca3GWqVz
tvMbNJ2xSSlaoyBf58gd9aepkr93CoMBqcpNUfHCMJtqSyNpSKPzs9ItU/MEW3UFc1yB8NpLQFS6
S/pOZ26VNnVwnKC709ybfbedhAQ+Mfcmi/sS+uaW0FKaYZ41bPXeuFYL7yEwMetXSfiS9lTrPb1H
1cPhZlPH3a2WYaynvjfREKs6mhr/7pJ+3yWxN//pLql5AR7yyRmBn/uxUyJiEtEG53PqDfNG6c1O
iZgtiEScD/9wo7CB/yGvFL8BCMeDZLL6vzkh/J5rZ1NdmoWVHMn/kWyD/JOP2ySbqhgnBEvDj6Rw
9Hi/TUoL8mtHSAOXqTZ1LvGPOhRN89Ekdi0323u1EbfxdOURyqaWykolpK1t/FtvTm2ju605MHiX
JYFuCLcId9P6+Dad096UOfdtJAAOGTgxCT2B1kTDyT6MaZYWhCAVmRpzfpwqK0/SnCinzNly2pwy
xzTnuRNWgT6sxMbzq4uspwwdacF9Sm+OLKbHif5dUlhAZcPyeYziKzvQniuhPAzdqDqiGWZqce6M
QYwWqox2OC7AbKd5dz/K1lOIYH2Xkd2xUnrCNeQiuo3b5EkezWmrpzRhQZ+ho5g2U6k+dXV6acOt
HIV5bVfrGGxcaWO1R8h/2wbhoxVKm17O7+tK8i9MtVja4G/TrCPvF8ZHMl4OY3g5KwbLsYph9gbf
cjRh7B7LRSn6S3sWxwGg3uq5i7JlEYw0f9Xr2TlPj7uJH0s1YPIronVdTzTMSShKdDqTjQGcLI5U
um+6t8iNut50ws7AEWt0mqS9SPN+kzcARr2wXfV5RI9c7IVMJ18XAfuaJNmUefKtoje0bFTk+EEl
rysxBY7RtafRsjdyxPIkg6pcBxld7hAhSJJxvYTmrOHP7pPqizyNIcgQyqrwTHO6WoPwbFKdzT39
t2NS2JdpoS9FhCkpH6N97wdQTswlsN100ej0zBPZ6IiYmIVr9MEd0YOnTWJ4HolJpj0ZG5C8TXwQ
Y2gjsEinE3DPZ7QVW3+2LLY1LWqsn7My6Ko3Re2YCvXwUiN7JCodvYzOmcKeOeDNSYV2a4B6K1OS
iKmkWftSUraJlR+g4D7hzL0LavCtpYX9sB+95SQEyyVRqs5YsTGJo2bbjU2+7CBQtSHH5wnCoxMG
6ZVX6xpZYcMGsGHuVhw4IM2JfhHnW00NIwc163feB66H4qhXAeJbeW0oCc179lNwJmi5J9p1NGVP
4LmIzOoP+cTJBInPhVc3exkuq5oCH0rkYmt11peIaGY78NdCVzEkQZaAQ32NneeWrtNWzvKLFnhC
LsQ2JpEEceNTVie3IsZTk0z9Xteqndbmh7bDIkvr+ipJu/XghXt9ZuFPuAHsfKvM9b1R5/gdXPg6
yoVq1HYFqJa+lk9yoCduO1XsOZqHHq4xIqyJbRXR8y3+l3EyLypbPRthsYvDbqPHI8zjJG23UQcx
Rq4OfmGiSejQK5HxggLqus7re5bEnTdEhzbQl4E/njM5QZDLRx8nuEn68N6PzbXh55tUhNZ2NLK1
IAmB0dEctMwOHc6bVzoSCk6ZV6nUofmVSydoqy2xMw/yADrCkpNkaavtuQ+MfQstcgGOCG/alD5Q
itiYLWv12CxJsuVwhs5IS8TTZNnrXupXjc02LeweMwy0tSF/n2q/XZBCsJrQhoYcgjnaTYQ7nFVq
SVjA+kR1rdxg7hs0OO46odSVSHa23+4R3m6Hpm1IzrF3AX4bvUt2nj/2C3rUh97TaSTb2RfyFOBP
VMmlJNvrMrcvKyBCiEsHNy1lhbg65S5UcGtBEtNiCbt0dD3NrxAt/5eCPJm89lcYa3eKL90PcnfU
FOVSjodlIPDXVWP/rEocg8LCR6MCZr9seBeVYrhZ64dwh9OnQtMOo83xtwmrTZxH6zgr+mUtlDuE
Jxdl3S2CIFrCmL8C5a04qn5j+i18lOlLlJjXk9H4+8woi63se+cizQ7SbHz3ymSlT8aTUog1+egL
XUPjHDWws/pqUDcxR1pV9V9idojUimaKvjnucSGoroKnzJVDbW2WBkkzSVCgz2dvL3x5g6fkoe7D
65Kj/tj6N15VbyDvc/LrrbusD9fc8w2JTPdNGXTbQT/FMYoAGZ58JIBGpsPa0PNj3/g3oUzsnCW6
jQTKpZkIV6jF1ZQo5CXYPBrlKMEnXgToTrpWvSZA1VrJCpmsVtXjVlP6q0IThzphvV8ltaSSUtiX
4Z0B+ZfJnzBHNcMXlkIud4NSgNxEAxdaHV8nNQrEjgsxZ0mOY7Fhw7g2/cw+oRTHwzmnTk5SCHVp
TqLEMzQsujb90mHt1EUWuawwSOFwZRB/nDgDkjyDiCuPQMXlMCdd5p3dXUTJgGOKUIGsqpE06kQp
jQB0tDkrU4RY+40kue9yX+XETqKmCZ7EVYLalBZpJGC4pD7OtYbQzVJpHiLFRHRvTJXktlZvXNU9
AVOJNSFx7BPdAlIOTwT72ZQsJ0Xao6K8AM10Uq3Y1YdoZarTHeloZ7+sCJtXUYBiVFQTAn4ypXzw
AOnPMopVpdTQT+Jh3eqIsbWm+dJFUEdj61H3tEPXI+lDag2rzG08HHZafYOeZ1xaZvDMzHpH/uwG
DepRNoYXwjh36cRjsgMUHyG7/loirXcydmaYHiAuauyQU5IqkZIU6GBalmhqk8iQKu8YUehI4vzc
1Jj+UFFvC1/sjSHcKBVW25gMRxtMTC7Hy9CEfiAi7cru0+sGeESXj1CnsuwmA/VDaSLecejcyrJ0
gMbvsBVaq0O5bTwbQ2iw9c1y5xfNvdC1XYJ9q9JYaTULrF3xlYPxKor9q8FjpzAiS5q8YFVxGjbK
5iUN7L2UZU7NoBvAFpLu8FVoMhw8O9ti6TpXKlnYaujYOvUtLRWbYJCv6xgIfpORjwKjcTGSTQpX
Cj415pIZdNBiymoiZZO26gOdJiIblME1yDjTUIiztSgXoPxKZvf4IdFaxycLDJi9urJjCr8kqELP
iu6Auq7hnZ+AVQfoWpSbsVdcLSruc+qAnJzx80pd+M2r8o64hr5dNYF22RvypedrBJM1YkVXY6V7
5jqyw60dyrYL133XxdNLMRqXTaFwx+S57oXKYPHz3qCyRIUrIHVt5Y3COuZKfpHp1BMSasVBI18l
urRPGjgI+CvdmqAJYscC3C012pRgFI9Gj+jTZqZBwjPsh8FCedfn9wM56VgHH1U18twiLB9k1FQQ
cVs3rrsEvQ13bXnKxp6nHsx/iy63g41fJZFjFPGhQKIZ+9J0lNRqVyhzriraPTyzKSfFARTvWOIH
4P+RIbtUuvLaD4diDS93S80gwnvYAiicV21DfxgUPrQI5vuyGpDRlaN+qcThJR4NR4/0YGsGU70n
yG2GJGj3qp/4Fz3ma7tOHpHb6pv5c4fOSCM8YzWnxac9WgHulUK/oo4Y7m1485ZSbP1CvlF9djS5
IaP3aylkkJGTxvvSl9etSWKsb6TfWytPmMtVDrPWTdzkFyEn/JhyYJcQgVWrzcOolGd7IBQtK8zL
SPGJk4twkOojuYTRXZnYj/qgnZG/5DtDI7OjBYThqo3+OKXQ0MH9zWk61GA6frFUKm4OER4XiN5t
iJZFm43UO3J8PZW1a9JMVI4RVUW1Fr6mrlKK04S0UpXQmyLnzYnv9Hvj+C2rlYPdmx4LzjSUokQk
A89USDymBfv+AKWGsjyAjQ+PUUHnLTvU00CO7vXPL/Kh0ffHRYCCwqVAr/exmB17Q0WGRB0e5XEr
ZQcZ2rSk3zT9zc8vw0n07/di0srSaR1R8PrQTfZkgoJR1LFxV7/3+a2k/UIB9snvp/IP8wL0BY/r
47Oq7VHkuUiTY9Yz0DaW9/yP//6An1SeEA9qNja8fxe+ORdojTI94odPjZPxB1bjP4rLPgikfn8N
b57Ph3cNaVOhfM/z0dM1EUMxTipzqVNvf0mi5c9v5ZNLzYC/ub9rIISwP7yKxKJe2E95fJSjDXK8
Rl4UFFJ1h2VYKn7RRp7/2m8UEfNtvXst8xB/0yqRlTDtTJEkx4I8dkJ3OXc1S+bUsXP/+U29ff8f
biozIxsV2+8XoioO0ngIXNaReSkufjHWPvkucaEgA5zpiJo6I0De3pRmZGrOwpsda831kueO/Cvv
689v57Ph/OYSH4fbRBpZDjMzO2bWc+Q96tJ/MZxnThWtYvQqePHf30JUkt6gS2p2jJgBKeAm438x
edEhk4VG9UfVhKq+v0ImZezvhZIfJ/O5Ny/buePT/GLu+mwkM4hpdus4eJXZtPT2RdhBSny2NaVH
BM5YLeaOi3HVQeigVab9YiR/ci2C4VW0ZCaRqNSf3l8r8KBqQ6vIjsF8pl5BgwzAt5bU1Nfq+fXl
/6uJUJke/nPJ8/Kle/7GOP6bKIKfelPwpHg6R0tA50Q5yFv60Rqm4KnCT0fwiQ+NziwzwI+CJyHN
qhDIFdAqzMnOjMUfrWEbZI+BksHG+fZPnWqa9n66QxVh4ubBD8ekSt2Vv8X7QQIutdAMLxyPYXbS
RqgGqsfZe2js22GC9SiP4F9tyA7WlJytUf8yFolELtikQOIiCWEMgciYkCHq2D5qMnPXIIkvZEMc
kta+A1Nzq/XZd7TcbjlDJkI0mkmRFuSrCdWhIE8+YrpHOo5ofYZUxBN7XbnEu8BiQEkwvhO+mFyN
dXKh4ARQVagzuWo8xIl554/TF0IqKPPNcXUQMiDfnCqIGSG7zjVaqusUlkaeD/6lB10j77uCLKR6
p1gcmgaQYykkDo0w5wgyB9lC2xZSB/sbD2dL5maBdN/C8sB6s0B5eMki5E46XHAM0d7Ky2oEzpBA
aLq5pYVNTsOzrejKN9qcxzpWBMCbcryeyOQJOw9AWVGTewRTxIi00JGEjuIE4AqQbuMxnYAri94z
V0MoJxdmHtrLsldAmAzenI4RLa1+rnTOdOiR1KIefIYGAUVgZ+GEYtzRaYLd5tPLY5ve+oTZt68E
lUFQJ71V+p6NHva5Enh22cgkmkSodKnF+tGcMeIn+tIDFrIoSRDjtL+Ka3Ir58SrvhOrFq/Pgkjg
9SDrnfMasO1hCNFNNC04xV4KYrcTGU4L2t+nSScUBCUzxw2vvW2y7CnEKuMZmOYS8gz1eju2LUh9
M+JQmG1gBEqrIC4M+s7dwZZzthGU1oJAvh91cZEW1DpTY3wuFaO81VMsLql+VnB590UPHmRYD1Hk
0RX36NKH3gbhLBTuUtuB31AWtoRDZJRGNDepdSd1WKdEKbm9rWK47NAX0JW0vH472SQ8yXlBwq9P
qtRMZcHqvw7DgHgPcyLj1nO1FruBhJywqtq7ibpAYqjfc41n5kWceywK8V58i3Pl0U+htQR0o4bG
oms9PdQV6UYy7UXKeaaTUM/KhuYibUHtq9H00OHN4oz/3IzhyjTUHV3cpRIWjyLsm6WnUaiLZY7e
SZXctHp1G7DMLopWr/mrxTvMk6tiJtk05mNpcwyuWnGoCvM8Bfpa1rx7BW/cWh7x9LXtk2H5ZwiM
rqlkR/wCx6GQCSkTk4qcAK1DKbI9ycCXqua7cfYtplfdcr5Y1b23zsNeXtiJPsfcjacQVp0le/wb
QO5cu36YAEQ7nlCfU49YMkOOG0euCaxKYFXhproREzbVIU+ILK/MGzAVO7wvj5MVHBJ7uNJUIpnl
mKi40v7mpfImtS2GkVmCNE4ZgN5slxpWXqQS5a4XfFDKDcP4wWzQUCleftmEeG5s7Zs9jdUqkvpT
7lGASmtFn2lZ8Pa9DMiKCCjGN1R3jHhITmNsn2PgA/PBGC53B+qXyG2AEcL+MnjNc5yUJ0+pkG+Y
hresexkhxVjaqyoydgXxkKdJs9ZwFAPQRTM/psiUr94IUcYHLTPl+V6b/C8KNYt2Zs+kM4WmiVXy
Yn0CH4ugxmFGQQnswEtemNOqxZgPAqGYXYilvSgamyeAZYe5CPKNp1f7CRROoyoXIWicIGjOFXUv
PFvaVgDPGYDoAKih6ANWp2gCmVoUpB10qssoSInlNPXf9+T/LvnzCv2fl/xj9UxsyydLPj/1Y8lX
zN/0WdiFjsACmTzr0X8s+Yr1G4uAobK6W+wB4eP9ueRrv9HFFDD2sbTTgXyb2aL9BoxG8D9+7cye
Uf+JO50+Jmv6X0ccTprscPn9NidYFR+A9WETWgqIkr0pe4fKVoKVNiWxjTzR9nbSUMq7zKyJWZLk
sX3So+Ai9MZHwgMnpzCjr1oH1x3ATG+C4qBVsio1GQhdUZIXFIURLA4R5HcAXmDgY82vSc/k88Ln
GgqVSVurnnUg/y9NK3uVq2YGCxKJQ4BFc2zSQ+SSWxyVqyaBze8An+pcCGp4U5EW2Qub/JT6NUkl
DgtSVaI5YGUgbEkCv803jbTCCD3q8OSxeBYhcWIW8EhaZLv4gqn8jWQwBf/H3pksx22sUfpV+gWg
ADIxbgs1k8XiTIobBCmRmOcZT99fUpas6/a90d57ZUeQJZXIQuY/nPMdklwyBtcVyS5sLk4LSS+G
XC4jkl9Qcl+aZXYwSISZGI74lt3g1TaIiynboV+L1owuK9Pe6ZV2nfDM31aBe9GpuBlbBc+EDGYu
i7YktkQb081skyLWVBpIsro/T1171lLS90Y2SIReUj2U5biJENN5HE0dIM9Yzs1HKru7ONPvCEXJ
LQZGXXGt1elykiZimbrahpUdPYM89J2O+Js2yHGogReRZfThtBBRRcXUUpQuw8qeakHmd5ptjdvK
5XZwakynTZPvUOUQdAOHgLCyaRUsjr0WRhGdhxDCTlxBzJEozrpJK29t8FQeDBfkfg2Uw56IREGu
X6ydjEVuB9tQed2V+dB65KNw7zEkzsBeZVgiKPR8Em2a1VI51Vcr6MkVNDQmlqsC3I/fzmzFf3sU
r/8/xk88cMoo4YJaFUxs/jLygCA/6qnXkvCoR9VWZqN4hTnv+iNokT8cb/+ef6pz/+/n3zXxE6/t
/3v+qVf9PP/QeOgANtBPfDJA/5L3h9Sb5kXH6fYp6f55/pn6F5MvkfmHLuOPU/PPlgeKhqBJEfim
PxUg/4Qq6qiPwe/nH+M8umK6K6VUh8r1l48JARUF4u3ZOFtImNI9iGTCZtw6PSVB5ptLe+NGyxPP
1krUXbYbQ++JkJZ2lau89jLceUFGJ0NrgauU47NsbuyhBOmrX/TQiOx8OsipXS/93kq0r2UYAk6E
BBiejcQLT2XcEvdrweB0DIajactq3J6X71T3zLR7SlHwBV/RncOHkhoxC2P3dSnz/UhZtpbWcE1d
KDc1jGK+rl8sA1IqSM8nk8cBGF72WGj9DGpDf4+r9mNcxHeXCAJw2mnkg/O8y90JDOAEpGfWnpoF
bDDZT3RAtosp37sq7Hm+0Mz0ljtCgQgg5EwBJxgEWf6n/eApNvlG0NqDscaLLBA4xvGKkGixziOy
gVCfftPTZ6rEqCU9pNXhKkIhs5XVMHC6Zk2vN5u+lWLV5nIgJ2FdIV9nsyg779WITZLt4qlh8VAM
EUo0oufQLte0LBopuyqYjquDvvQzrE64JJCoADsphgY0tYq1m0MC7pBQAAxfsuZmKIm/A5ZdY0kl
Ek8A8Fm1KiYvUoF5uYrOy2v7uVwaLiiCpDamCtgryxbYkcJUTip+L1BBfLaK5EOdZMIMIKYvIa8v
UsF9norwg1EZnwIV6zd6fXuM8CXvJhX6xz4BN2KtogC1SAY7I+0/hIoJrCPyuGsVHWiQITgQm7EC
ckO2jQoYNGrOyliFDpq6/e6pGMK+HscNOgF6EDIKM71v/dJKsmtXhumGhCSk/xo9hAdEbWeqoMN0
aK0dEu/3XIUgopTFiaCCER0VkchPDpeBik10S7b+YiZKMdAxfrU64sBCUAHIz8xFQ8Uv5rgd3qoZ
Z2oJT2vVqqzHztWai1FFN4Zj3+y8CFUSZAW5qxA5b/jlmaugtT5iBnqAQSIoA6bcKdE4qZEqJjLx
Klikrmu+6Tnaa4g28ClUsCQdFCHZlTlsAI6SO5moCMqkQJTMMxcem0To+3FJi24TASDQN5OKsERU
3iQfGerrvYsB5KY0wNgjAG0vumDR0XjQyTf6dJ9pRojMJiNhQnopkqT6EeJa6OtLAIfGG8tNG0Gl
H9qvWlg/ZWUBYtT1uKdzGpAhL0u2TIR5OnPyaBTldVK38cvssbcWURixbXcR9FbspJb+hpR42HWE
J/nQfOqD19vvUTa8UPpsx9CFEedpH2PSKX1y/BWW1BEp0/NkE6qLlNL2s7xRh4h34kdx6FPvo+Q5
1dQd2uXuPZFd17URHSuD1L2iKa/wj30Ttvc0ZNq0NpqJrNzGPbhNsy+X9q5dvAeSl4KN3sEErftm
A8clJhwlnndSMB0Ats5gAdv8yM3cuNFtqCNQd0LAbX0m6wtLX15ptlWkqdjHZXRMneDsyvGkTbJe
z1hXeFKQoxZ82BgKZaAfkKG8JS4jADvtkn0oB1bFZi9ZBXrm0cZmuzLtskX/nL95LVk2ud4XLOHq
63LU7hhcKDVrGh9DdAa0jiRXpPPo8pboz2cNnAaAVnsVlGN4k7MCoZ1He9Grh2fRSRtmM5jsu8qK
NkkQezsdJ8BtFjbV2hVoNThh+l2b2NBtrMnbVaYxb5YkchUOJOOEcebd1M/JJmhjyQ47NzfekiBP
bqwPysiFiPXlgCjjTGt+kcvkErdhvpGjLnZyRKMs9SrYpnCKtpFj6bssCACH6GW5F/ZkqUQXGKfZ
wsY4FjshFQow4d1GOU+tGME4EagOlCzKFFqMU0qH/rcbC/6lVjNYClkfrvrEsHdawrglyQFD1yGk
wCJHocwx9Uf00b+ljslI/L+XOnfRa9v9zXRXvepXqUN+McpUEATCwv6hRrg/Wz0hv+iqxsCSyOKK
We2vVu/T2AZU3eVW5V6mDPo13aUKEnSAZLYrQxAv/0eKVutz6/KfpQ49JdN/Gkv8SfiJ/nO8iwtO
h7SHsVMnY4MBXN8ypBwf2XCFu67WzpVygLdLfEozAcpyxheHPWbjLkwfwS+/l318YnZ8j5WNjb5R
44qQ0D5aFI8kMe7drIdtHGx46vfjyH8RdKxGZp4sbr+2VseVPEaYCKJNO9WvkZOcWNu/w3/ZjJ7c
AKOi5jGqUz2Z32wTW8AMtJcYMiAdcd7vk6rZE1N/0cINY+i7XdBsaJBr2JkMyBvKB2ccrkYR9YgS
zXgXLeI1a6C+6/pzhBZh6wQgTas6n3cNkyjfs5gqmXZ7tKYOZT5eoU5oe08CMImSO0bElT9JSfJT
Nd0UhroL3Wo72moexZu7wNso/MUdl7VWGMVKA4nsyew7N3u1mwWFW0zG+0qbg3v8MB9ZRYSFXqBj
L9rklJItuI5DwkpR92Z+VDmW70zlzEXibri3j5HVFesQuz9SVu2Yo3xARHATNchdC9c7GoOGJsjq
TiDW7uuo39G33cRTrBHSheBzzsedvrjcsRwF7Mhupoiho+l6X5PEuMUFpQEQLR3wrjJHuyvvlzz+
miLUGjOoWbGbMpeL0TwiwUtq/UOJa/dM3MjXjPt5QyFH2HIgETtHT1HC+w9n+u8FbpZvI57o7bJa
VYU0NxjG3sskPWhgQEfYqVAZaA87g/DOmL9Hn9rVHJBTVxbRczDnt1MDuaYknxmvAFqKkFKjLhiI
djOj7pETzgce7a2NPDV3edmfSf98soyA33vb4+CY6pWeV1+NPr4kPOayiRHEaKHh0rgTt2cKLm+P
GFdURpI5WkdQoiyv8N4gLrMckC/YKMM2vgIa97VO6hhupJp5xiRCQtm2R97oOGC+MbJhXxv6tRAt
JKsR9L8RXDRhf0Bm8dBrw65sCyBBJVriiQljHkO3bQcPKdqIIC+LIEHrw/NSx+/tIPD8TDvwdJi+
CqCshV0iY+BfNTvXZT0SPukNd26abTtEhctVN5wCLd7OuncIp+JsWMW1GII9abhnrbe99aCk6ErR
1rMW78toWYuFmYWNCoQPaBz4tkbTUnugzAv+0CK3iAK0Re6PShyZ68MHUd/pGnaasxGVelTT9m1K
MFwAGHOSqT+UWk16Qe+BVCqsQ2QgAloQZTaUjDJeuYU37TQshBtrkmCYgDptPc2V2waLXThFbF2C
NNnmg/m9Z30LDy39XsrhuV76b4szJpuyRSMbyvGaMHKiTGIbu1BndxuOo0H6Vl+gDUKu011w9qg2
pUIhONU1IUJ5d7AKlHjM5ivbehg+Q88jHIaI4wisDce6oG5wJgLS3c+wdLfAXceOQ0h3bzIfQsYr
QRxdoVOd+7sfQeyj12jyop/68mK0iix6pkMSwzntqn0ZkvtSJSxSSzM1t3GMuKumKjKa8LYN5OAT
/Hs0zaLfNloz7VzNvrCcKV5jzASpmNnfapoKBF827vTEfE6BfSD6x/hm6It9lCUf5rQAfMa3Mx+y
ypcqMF+jpBHrzk0wYi0YgrxoIL6nBMFeQMLTdar0pmsmH0jZacbPM8Vesk0r7WQWzY0W9Be5W74M
8fixaNIfJ0xirTHpq7CyUK3L6RjNB0snYgBf42uMns8mSH3VEZW8kbZBnGY33ukiuQpaxHTJDGFQ
fCyGzp8SWh/pkD8WOm6+5SjmCQa71VCwN7cpTSP+JJIZJsSWF1nknPQ009feVCpc9IGWr2FJONk+
+bn4mEV+ZTsq+8Hywo2uwcDkxlyPiOLX8dSfFp2wVgvmLj+Fipw8NFNtCd5VAvPFb1GtHS92WIJh
BCwC7b5L14sVPomm1fhJJsE60lLWZ6k38pfDDlYQfbl45J5PamdHNBXquKk851MFHrIcLyu3EyvX
RQ4dGs4ZpNsJJjZzrCo4e3gyCETfh333anvjvKFLupszrd4sOVVj4HGBWAmcwZ6Orx+LpzIrj4mG
oc/pl+e+Jk6Yp87kM7CwC9OF5jdl99563gMH9Favsss0j5S/Vu5lUj6wjdtpsTP5Q6gf6lFeD251
61nlW8xFx8JMvzL17oKgsMAn6CLYBYvRsHppMAMMXAndGK4YqZBplaYHz5pdMJ+Fj3G03rVWPPpg
NM9p3F9TiWwL0T0OubEHIxj5Zi/4APbmtEl1Jry64dZrj+DcHR1R5DtYSdY2EUaoJI2dLeCOd/xA
IdRlZ0zFycp1uiOGz4Z9knd02ukhQ7i8mUsuQY6srUZg704bDeScnu3jWye1niftIjTEtW2godXa
Smkw9fywCIr5gdqZoIo6wDggD6YZXxOO/Kjp+Ia1wgXUHwcccNa4X3LBIwGSUDTDgliPeAy7nL4V
ZfiECurcFs63xZTfJlvfYv54LtOQHKXKxuAaH4K8etZLdy/N5m50xYVMMDuS7uvrWQSRbXxVlNbe
Ee9euhzDPr5hF8NavNPvClMd4pqFJh8Lyme1+W/ZrWJ8/nvZfRsP78h0v//NkkW98GflbZhflIRG
kJT3o07+VXizfrERTjBIZMPxI9Top6wCLjDrGBYpBqG2agfyq/CW8guFOsGuDNb/AAP/gxnjJ0fp
97rbgRjGhBGsjm0zfvsrzisSxYBzSOJUL+u6ci61DJphhhZSb3POQjNJz14vZIoBISAtCCnpsjVw
PTs8uKCpgXRm576sNUYik3awrEKeeurE9Sja4oJlYn5HPM547iezuizirvzWhd14FPmY3pnGCJG8
TPA/dZPzHojY3JemG2xJRlZpqhCDX8gYYverDZhEm7FamV62S4UxrpessN5gsBsfmoyXW9HacQ9+
sShB8BrZSnc9hvl2vZ5EIjjCEvxIkZNe53kf3AtGfLd9pWXRnZ5YadjuMseol8NSRQHacbZeksmE
U4SCv7DHXc9qmF0ZGeP09eX8CvdyuGkaw2XVXDYCTcICo/TKtqtkk1txnTxoyWIplULqOP4k7LpB
XS2xp1oD1CLsq5wPQ95tFoa/a2dhGw4v0e0q8gzVpkkfGs+6GNQSigBv9lG5Wk2BHmFLpdVqYzXH
hZTEtRHaPGMM8dblYt7SCQ3OXqjFV8kGrEsypi7E7S4nC4vawa3deLglFdbYzhxki/QjPpjjKfey
udB+7Df+PREUd+q/nwh3r99A2yKy+hsiuHrlzyMBPZWuxvoQNdgh4Bf/rRk3vlDXKgTNj6/wqp9n
AhQOSf/mqseUI0AFnf3cO7hfuN3YRUjksx6LB/ef7F2hevx17+Cw+VDvjoEAS9y/EopkMhSE6Uzj
mdpD556N2VENUbKpEiWlmTokJmnLgMwyh69jkl9ULbMpW3cdInfi2A/msF0HhWuABrc3msuzkM+F
49t6rF3o3fJqBWK5Apr/Ptp1C68Y2EOVBXey1+wTqeEgtwdZMzcb6iuk1ZskjB67aNyMegEk1nOP
eSeOFNAf6TQ/jhGxX2Z6rjOsL4bYezHecy9hSBvnhCEnmYFhbJbZGlkQ/Y5HEJhp2e+JYz6MtvaS
Dtr7OCjMK32eP42ocIjD+E4vDgFd1646nn/GlAU+8HTEwO7Zb3OEexYkgeFnDuSPAWz6up/Lxygv
b4Qdwl3GMurMJlPzvhs2YUMSySmMD3Ylb+vWxqAWvC/KcVdQSODNkk16RY2xXabkKa/lKhDBt6iw
7gcrYASdfMyhkpJk4sYFR45Lk1HyELYPpUYBOPfUcn0WZdupg2hSeww5G3u+yzG3rztnNPetqye+
zCLck0XvsPYwFz+PWZO3ATwU5pPt2uzCfRoh1aH/3PWEh93icxScnUihkpmkLiO2hrVVgqVuamWk
QaHmp9gMjovW3JbthIkAgfWun/AnoUteN7KLKSETa98H3pw+FqHmhCfRLvkTNAlW5BkbYn58w8Ig
g73SMMWsDCz3o8V3MUXDOeoIOyVdrHNO3We4UEMD9B1Yg6OBZci8fWwawdbC1XZ29HjyGRtjYxFz
sa3MsTzli4gfXExkDVz5PUOsl5TMSablFcR1MxFrrepZ68/uvVeMB5lDsm2CHsuGke0bw3jQeuag
PZKVzRQsxW4YCVzIzbxeOS263rZA9abzsyTZ+zRh/b3nE+BQ4zslhJNsui5m0u3cfqzuw3p4a1Hy
XjipGFCSRe+Vwdh+MWcdt6Bxpbkl43wd/0muWQZ4j67fN33Q7AW2w7varjPw4k5xnwocjpURR/5g
Vvel2627ziY0refyCGNrP9mkrvWBxnwckyiI/BlbnEf+h6TpyiGabKxYjBeIht3tHAf2sZv11ymo
/DoaH1FLErZa6DPJKVWyDk2P9dNkagdN88aXNBlHzJZ1sI7drthBeUm/pWzd9xkeudVSu8d0jKb9
sBDm13TeQhb6AuuCLqm5GaURXEaYS07uMF+13FRos1COIxzkycyHZgvJelp3omhPmkuz0Rop7lFr
Wjb/VqiUjERh/u/B8Gvxf1bvqqzi7vkLD0298td9pH+h/mObDWhTVaJUr7+Gw8YXm0ZecB1gmYFf
8Od9BOuAaTFJqD933b+uI/sLo2a07ZyBvEmFkvoHJap0lLT39xrV8oRl6NSoSgREK6i+/pvToe1n
yxpSV7tyrDzxMxIcVftfZDa2JOXdTp15ryk3NwqyG24hD74QTu8Ry/eovN+oSA+LcoMjGEl8XTnE
hfKK18o1HmMfp3Z9LLGTV3p9mqnO0Jm4l5VynJtYz4NKPoRY0XPlSQ+77Jaissa8J78hKvGZULd+
IPUbTznaRxc/Y5M0T/rkfEzM2bbJWN3lInlwDJXEly5Q0DRkdLlXP5t91a9jo1rnKTiZJKzw85ba
lhisHv1JsxtTjZOVkc2q7fMjwQsjU5qg5D7DZ6mtg8l8qbJBm29Y8brDFoz6yJS0bDtOpDrRK3S+
TIfXHiMuJDzetjIIERjaOd8Iji98a3IzWIROp2A1+2TuMJVBbSrJter15HvnUJPrpgf9wLVWsrvK
hgfRlg5RhqPnsz3G/zeXd85kMHnMxUuCc5bdGjZCPInkSJXDhR207bHWizdwCElDtDYjoQ2RlFzJ
dm6KmzoNU3brDjPUOb3XIxS9DqIAQnR0dV0/F2b5yKa1RAU1lZfc/rOvOd6mcJBwh9WhyMqr1mh3
Oe78zHOOkxU802ohM03lDNI52faFqR8MQhDx/rYzRtQJ8oCN6U3PKIB5P09u2MXHgdTODSgcQjWM
QFM0hvyMKeGeTFDE15UDkxwTsPlpB+6UMzj9NAk3n4ZhY3RPi5hv9JYRrG63TP+Uv7ip9DsFug+U
83ghJ6LGiqxhlqYEuLES5wCNY5cOBDsr7/KAiblz8/PkMSedBHkH2JzNnN88XU+UWD2Ii+TJwg/t
lNFu5GqDXkVwKY7pCed0hYO6wUnd4KiOO0JWlcWaBqDybWW7XvBfT8OIEVtZsie82bYyafMrTxjI
Ju8JO9Wh4b1pc2htWC0QYIXLe1pY8eL6Fg3KAmUD7/rsRDDhba4M4rOyikvNvIv78a3QWobq901v
GD7i2JsQj3nF/rKoliOEj0fdS0Zg7vAwcKUDgWKHjRYkbtOXXBnXNYc1qbKySzztkTK3G8rmXuN3
9wKj3Og5LZ+9ILmnNiCzUnCZla22LnHMs6Z6k5UOEUR56cPoPOKtr5vxMrKMx0yZ7nUxb2tlw49x
3Af48pO8IDKbrTfQ37dBWfflGFx6yswvcfVnGd/GimFUdv+xyQ8u/v9Bse0VEGBi94L03QL2/skL
wNE4k9WqKAIR9jmCqezwawJjoGDGxswI6oDW7kEqfG2hEYzesAHTsUuk+9JBK8h7cGUltzs6eb+D
Z9CE1fOsAAdClaCjaV+6sA9co4YBr3AITSOfY/gIY9uQGAEwoXTNGwlBwYGkIBRSYV6GkzUAWZig
LQQF23XAxvsIDgMLlKdEpJeh3j44xEuAbNRvO8gNospOESviVO+f0ty8axTiIYf1YObKLdGc4LXR
DACDCGemAAl8iEzUFzW8CD4kx1IBJCJIEm2gbweFlujhzeWiJpMHm+oAfaKEQkFA94XGynlVj9rB
hFOhw6vomvqQw68YCZ3wlvRyAgbZZctNN6QIAfP6xBj2Yqr4yLoUYDlMjAA2Rkp2jllbhw5mRmtW
RwQuB0NGjwNMDQu2BvOYDE1DsB0sTLWD+5ZC4TAUjmOByxEIWFVwOgoF7Gghd0RlesGQ92WC6EHA
Mrg4unWjrHU/gfphDvG2gAICiuYihgryb23yWZuYtLX/o1cus9e/o1WqV/2qSwzqEggXTMl0QaP8
e10ivqAocqUDhRwxpfrSn32y+lbm0hLfGA7f32Zn9MmSgbNCJlHRKKjTPyhMDFe5Ef+jMHFolFWn
LIWFmVj18b8XJqabJw1T6PnsdmFz7SRsCrnOnWfiCsVxHtP062yAYHO7QT+NM1XxsAzRmqXw8uh4
Y3cX6WW2I+E3vrBJ9N44WtdsCoCqcAH1qyyLvNOgKmhL1dJy6nj9wJBxTdUPv6Kspr3GynUS1BRt
FxExV8n0W8zjsUuKMYAGQbxtQ2/+kkdReCxrRfHRumQtVK3fum7FOnp+9ATAlUy+zkHuENBMh9AR
zXlRqK6hKYnlwWMVEECun1PVW/RxSt6STVRnROOBO1HJkWQHrS9Z1EYiSbD3G6N50xX5mpjfkPVc
9TWawgDuwcARXB2Tkjk8IMf0IBaP+GvK0uvQCJ/1dMY0IJutWRU3Fk/fJtY7bdfZ4UIebi+PUaQ7
m0xmF4ZWt4e4M721HuEgSbPC3Ax4rva2gWGGjVd6rHPAkEE53CwNyMgqI62j1whi1iwLGgNp1iL0
rhLJOnyY+elovRbdxii/1zTHxrltydacnbE61FF77EXywnCULg2ZM+o3O9kYIYdOWC+domZGGxYF
zTrTUn0b2MY+MTUMXE3ICUwkVpeC8lz66hXfaXKaOvNdS0udFpJ4ydwCYAiVFyhUeEeq+A2x73KV
TtNODNmjSOjiIM8QitIIWsHauC4FeIywxaDDOqDS9N0k8H2BPNgEFX+PbafkFQ1mSBw6K1SnyC9a
abxbVtlvW3u8G6KUrRj7IOXWMVd5rp+d0NsXebkbpHWZTN6pGvVdBAR4s2QhUsXAvp6DZLuE8Tlf
YiLdSHLy4G0BCJ5PFgvMKtUecAnAC5lMKr6er/TBSy6aN0lg9tqL3G9Yw3b4cR4IeMQ8TL47NlIC
6WGxzvlVnVqwL7Ek9t9Md2l8nAXUc0E5XXojOWMbB9XdpcEQFSDgzKKq8iCVOSjHLkO4GId/D+Mf
jSKN2/84jD8bxaZ4bb7/bZyhcmb8PJTZZxhStXwqbuSzufvVLLLQAAWLVllXXk2OxT8PZYuv0BF6
2DhtkkOM3w5l+YVJqDpGLZsO1P5n3SIW678cykwEaTptx6JV5A7Q1dd/6xa9ydIqgg6jKy1lP2up
QbvLAPBgq+H78DmH7+quQfEwa8zncUExnwzGuk0eYNJhdPyc5hdqsF/UVcgaGlLxcDN9zv77H4uA
cEIYIFZAXxOWBPWPlYG0CbGHIKx2CWwtGhYL3eeWwWU/TSHYBQkbOG4RFClLcp+XNFSM3hLhZ6lO
WJ2BImMlkiTaVlWG6wJ3yX6OYp5nq3ceC6Q1ALkwRD5W2M4mnA/VMvtmwdDK19q68FNZudcyHaqv
Mq+Tr5pVWXs86pCDjSELGJQZobsiej4+LS0uUqi9rIN9N7YD3ysFsFg999EI9oAqnPzKsYvhNscm
s2nIWTQhdhXDvtcCi3Fj7b4IBJQLnlOvXGgdentaOS5iFT8hh+mWRHskN0uXx/uscZZvudDAX4bm
3Bb+rNORkBjsWQkXoil7eGvuILudxdxSa9mla8NX2FWGgTAYjbWZkBlYbNjZsGZhZcIVijt2lMvi
7b0QDS1ZaU24c5gr37TNkLxIr2hvPKd14OPaBrNG3DD3+VhdebKtcNxp/DSvCy0c9E3YKidnGJR9
fYiE0aMUjUXyNcXWcz95+OHoU3sOzBH9QLbXZdE5K82tguRQ00pPx9yJzfHdHt3w3QMluYNHFsAb
i0oAOx7UnFZrkYtq4CZSN26fI2lUzblmrEa/0K3+Pbl+nFwwIv73ybWO38O/m3Dxwl+Hlv1Fd5kh
WULHVoYb/c8JF4cWhg3Fm7CwWXz63n9WkvILvnM1+/pz+PVz4yK+MC6TwEGJvCDV5R8eWn/jdDMl
9SqlLN4SKlS1kfnt0Ip56hEmdPIEXQThs5XW7En93rbSYx7z4cWDPiwOrgGofgIaXDEvd30ZrMOo
oAmHUf6aRoUvu5q88volcTLDuMaYTdZYMmAbXbVD4Z3zskMVIPssPtTdLO4RYmrWwWj1Rlt5ntad
80AGx3S29W4j0jQx7mIHL+0Fx1XWfvOK0B5Pjawa64bZ2G4gjPyd4gfPRhH3zIxMtycjXC0Yvc9d
Y1fP3cHMBGOhZYnSZRMoq95iOnhxnTrSL4Sy8jV1nUBjBha6iSZSJJu66Ta9PscXVjeTDB4sFQ0n
oYOvfYskjg1TgBuftmDx8Ur115GwXgGGvMDv+pbYtPJwOXIfpdV71eXv1NUGK5q8Nr+DtvRdHVpZ
HY6HYtGtbYfQg5SS0F4NQmdvNaa9QZLliHKd4cCToTGl9tIx+DYh99q3shCHSAuiS4Ltlbauca4w
zE3sjat6Z0IV8RF0dKs8LRDmu5gG0G4j7BuCE7/cam3j72rHNli7XX7h9h7JP0HjnJhtLofUZOkV
C4hQphftnLjOVw0iTBjKboKnDzObU6TryvXeyU/Xdu6w7DODzpz18G4ORqCEbZ6uwgC4NRl7zyZR
g+t0XIYV1+2uNDyoXt3kd1EzXqU0EkRlsoXwMhVmDgJkk2iVOOthmt5hmZS3hW0X74luNug74+IJ
VHeDka4msHFILv49tX6cWgyp//epdSxfa4LzOKP+OpnnpT/PLRxqHAcGM2lkIv/p0GWJbLk2YgOH
q8VkNP9nseV+kbwJgTIbatOPvvnnuYXj1zX++MPYQP8j1bb8JLP8RwPs6oraZLMnlgoP8heDGpl0
OeHAc3OeNbQY1UqQDwCas3CTg82tfY5N+4TwIrqyrQbdl23d1NjZqX/0WxmYt2mDDBdTLhK8CMzo
cBE5xnaQ/WWKglkbABMWxqVbGGtyiIEdmBNUD3mpE/++kn1+heRmG4TOZRtp23LWbtivPThz8YRs
2neDmmfFXSHTgMBTHFLQ+BFZJ7gV5AF99SMsTZ/0gZs5za56cLjwRq8mtc/17IlZ00I9YgAqDh8s
yI0ouJJN1oxvXtydAvw4XSNfZMgh2HXHIrC3nfQuBrO+CqLoyiux+SymH0bVFZ0jllewwJN4ckws
EeA8Pba4dIDnxEiuiPzcDD37xHZZIwX/6sXtdRT1p3Cc/QHzlQlXD6DpVSOwlXgfLYTWTQ5sD0Rq
f1w89zUgCzW2zackGVAzI7S1WkDkC46LZJ1Xy8qumru5ndtVMMXn0HL2qQMpN7EfrDbfL3N7m7vd
WyEmVpHFFfqXy8HO90TrHvNm3vc1YaphpTp4ggnoCAPvIEPz1okcyCjE1XZOgYEmG09p72grY2Yk
GKSvsjRvvcr2IyzZq6x3zr3WXYYiXy/hcGgIMIVNeZt408HQg0czn9muyI1dxMaqhvEYKJpoFOi1
r6Z/sZuRjj3WAG/nPliXsf3qDCxjqhrpamWx9Z0qxsGctvk4vRWW7aHTa7gEN+3sjdw5rdskezRG
0aErmyY5m8sygaUGvyl3Q4OgwDNYqwxqda122GXdo0hGwJiWXXUsyBD2W7XzNjJDngAJDkiZjYSU
AKAc3IgC9MWS3ApDoEsiJJqZ+D4p8CSQ+U6wrtqzF2JZfEPt3pOK0IpO7eN7tZmH0WytW5b1sTnX
azSzOJwlUQOL2ukT+YDPjzW/23T6JrVZiyRIAGKXjntJPkalDfA0ca8hFsDgsGaJe16wHpiICeo2
HTn+WSCgNIgX84Rr50ljgp6cGqVI4HvRJlRcwxK5QqxkCyVJEkrHUA1tB1QRbQOTW2CrlfkWQr1e
6UoBUbV1vya5/Qr7Iir/KfnuaayuB7PP/UFpKFLhvoeV91LM4oH4q3feP/67Um/9WSkwZMVEG/NQ
tbaKJIJiDFR1qFBzIt2QbnwekHK4+fhoTvNH7+jHBKkHeQdkOWgQahGBxAuMyjyrr7jzasTaXJpC
aUZKxCNFFSGF9dJ2I6KBJHpTUrcbxfOIFmvd1vl3rWToA1FYEVLDYpuk0yHQsl2iMzL3lgHzKh4G
6JLnWHfesC69TeZAbMGU87l1bCZdDKidKNuHLuWSqAEFV1ijail2QSmeOziwK44pv26tQxxiX+nt
+HkOYeh4mslUrkbmicgV1cub1jfrVqDjmgLGQEXw9H/ZO4/lyI1ti/7K+wEoYDJhpoXyhkXfJCeI
Nmx4JLz7+rfQutLtbpkbmmsohSiSRSDzmL3XttAJ+BN8/9ns0NtAIkUKY/qiZeYx1+VjxEJqrSck
ewLqXiYowYuFsZLNZODwfFnbauGBet7AKxqnk68Ur2VN+hM/nvU11wHQ9EG4wHZq/MDxsBry6gDy
1+Zn649AQq5jjieOIRWuAOswRDr4jx7VtH5sBxeEteZ5q1hDlt3p4zmN9IchbE+yiB6NySGiAR1+
QWg4QubBWtujdo4710CJlz7VkcBDxgptnTkluRZRlBbbemjCyNdUwNYJzA9Ogz46CCQj2A7FqtBd
DZMIrt6pIBWnaHK1HTsTcNNE3YkVwjHG7C5WffyvjPXX6DPkYP+jFjl3cfN/109xU/5ZH/U9McT7
hWksVC8PdTtKM/qU75QCFhpXKg8PWcI3r9hvfZT8hcGP4ZKMwkieNouv+q0eEb+4VC/AxZbMwG/d
1z+YyC9d0o/lCJEItHIC55TBqu2n0U9tokth+BRe4aYy5TzF4n/FB0Ok/OF7LORQ10KCB7uBZSn8
Ez6c7zu13FC6V2bTeAPY/EAD4m1HuLL11snHy2hhi107xdTseH7h9molG3ejdeWDSXqBovT37ItT
O17DuCWoLl2tuRXMI8uuLratkQ8tUDuEa7000Ag0g75RjGNL1FmE3ANGZdzL5GlXA3veDIZt7Hi/
uOnUkOwsm31e0du3CcpVEnlR73YK7VmshRmA11ol2q7IgVM+FPUcfc0ZJG2tX9GqLl7qDTLQBbnq
ZfzTxigFaoVI5Lr10H5jtHLfVnct5lEC3+btrBlypY3Ri1Uap2iMmP5jL1ilHg73vtqhiTgPrBJW
TqvddFH/LFPrsfKahxpgdlj0z7bMi5VrV2qVxuJc1WITiuoMmBymSZjCse/idTjapwEtLzXmYglQ
wLCYxencGbOajuxVX8skAdqeOeQdqOpak5S1554/d6P+KbLT6RSVlkOwPcnZbmbgaVakn3seEn+b
Ds+LMf4IgpbacZQ7MAvzqZrKUx9ouzFP9y3hVrs8k/U6tmY/nMtNNcSXnPZoE1gEHVDcsbmpD0Ed
30ekXbFykRjjtJQChxivsDEORTPWmzrKH1TdniJrcbxNuv156lPuwzocfDSi27HkUR2NeCMYBVJ4
FGReB4exrC6DwMZhkECPDwOnGFaPhLRT+SDFpFbWKCDaF3CUisCDaBAImrqpvVR2ryFyBJ+PNnKn
Mv1d2N0XCC0uGTN2frI8wi1xWsj4rizcnJWyiCVgbradjqEdPZr+HYrBz6kWHWYb+aPhPLV0nFkU
2CsXaFWQun5nGWdQZXd9ARcKNR15QJsG1G9uD+kehP7OHVpzXVl88LJw9o3efzAWrlYpQ1ww3hsD
1gvWGIx29XiUmX478z/tDZbh+B5ngTGq1D6ajfGOYeuAXvFsBdgfnecxeFPufITj7W4lVsvakU/V
bKDtGD/1VDNd6+IzAXIszek2DBIDb0SK9Tr1XuF7vVpollCRG2dPFLhpxJXkwikXkR/NuL3lXG2d
SHt0x+ZJpP1mDKHuyyi8FT36GdAOTPJ6ch5UeqAnA7fTG8+lFj26bv6klWo1F8N2qZVNZzxWnnYc
Rx2qRGIfGW/sMjvjanWataUMpBydaO/FkBz5/U4y0d+47fGXWhk6E8Xuw7TK5CYXY7oftdx8VYPr
vDSuirEjTVPwlLdBej8GTkPblBlwIIIaqlwbrStt4eNnGKwJfoWTZmr6euC1OPeljG86sTgws7oP
Gh8n2vKG4clXaEaXkrAK3E+zDZc6kvazRnWy6RubdoYFDBSRHqKF1/AwW8u6rMtOkwurPjTlfavj
y7WqoVqHfemuDCM5QU5/yMuUYIQBv2VfNmDaPPFi24Rl2P266rR57YxNcXTpbC5BiexnnLnpU1t9
EuT5Qr+bIl45REZCPuphmfI5Timm2/Cc5MZMaFNwB636Uzd6fgL0w01gPwaa/gDY7dWyyjcy5pif
J/s+ab869XDFhphsw4DYejh1r2bSbVHNv9Eyrjq3IVDNYN4SDAl4uqbAWo8+pgnkeppin0yETVKZ
X3K7Hek58MQX/WsPHkOKliyRuHtrcAuWNX/mdNiagfPBKJpn7IDYPxV+tTF5GLPpXHjDvq2QPWlD
8iHEzRYPvKLjeOmDfBfmhKrpmX3ftvMVTevrGMkblQjfFf2HYdmIDZC5HYJ+ekF3M+qAhQUqKDt9
w6tJnHhi70QiQYBktKqtGx/CBiNzRHqUn0j7Af4Rn2CGTCssnEfcWsfWImarifVXbgI6NgVFC6om
BWG7V0mIx7NCiaPXe5lbG44baA4jaR389nnknImJIcUuPBqtfPXKHveD8ks3vVpklaIdWTWwnla5
mX7UXG0th3jfkV+yqrrgo96mRz7rdTyPIPRM7yi66a4pdX5M0RwTXdvX0n4LUGr0dPii7R8CUmfQ
Bc5bBOYsS+PoVhfj10CH9TQh19BFglQDU7gns10VVI950cI8KNS+D/tq73r5dDZI70pMk+SQ+M0O
FGlnNAamqVpMprqxUkIMt0gco5VLBMwmdeuXgtCyraa7Vx3MBrP/qjo1BkGSbTTmW/gyn+MM4zjr
W+1lKG2eFzYwmwmSwsoScfZlRAy8Nq08wpw6mZchav5hAPtCfhZEr9tUIaj9jZ89O0YqjTzHRHiT
JERQPKfeJyF335WAiG2mUBX/g4/+w7f4aR498RTbKYLiG31JEKSDL69ksf/991jUEf+t1pZKavk1
7IXpSpiVXASp31dSptlhB/fi8KoP3PLOdW5B9j9q2vrvv82PIo1fv80CUhKskIkV/RlfHqpkspy0
D68d4q2KvrMhtkKrnjpxOxBbZDc0PvJXjPW//heLT/fvx5qXj4Ag/2SoyRf+PtQ0l2UMY0MmhuhV
Frbg700EexUT7o0kTBkTzPcbZOcXtsSgIVgQ69gjv7fEOb8YOt4Onefon4fQ/qGJWOgTCJslgh6S
cn/eHzfd0FW5PQ1XXd3WodhMifPPnkjJbBZFE6ulxebjSfFTCwE5ByWN03XXRiQc7M+afvVIYhF7
I+CRRNL6q/r9LwH45k/rJfcP33F5R75bLy2JOzGnVEfcQYffeFrIu1OjzBzJv2ruhlq5x76V5Y2d
ymDV2Fs7AWVVBWMgN23ecgeGhf02mp55sC3kfVNFPpjRKGtludFZKmherpn6Za1/6bX0qzdqL0vA
uSLnF7cIDpIkrCe/mMAZWThxNzUn6CoP45CYKXvXTFm8ldKxgAbGahdMY+HDjCBKqKYwY1VDzocZ
s5sgJbOL710GxWR6q5UT92etCvgrJfEqD9xFWNiuxQTt2R7uAlLpqAqsvVLGbR9xUbj2odCRLaO1
OSnPII5ae6rhLJEx+dbP1u3oRPvemZuNQdgj6qKdKN0jKqdxFdlqIF6mbnZBNF0UydcPTsuKn60+
O+0HpFX23q7gAhAqtK9Iamvv5lLwL7q8xrSdheLc0k7egCljJ99wSdHzVYgS3bPNUo2gqTMq48OY
smDzArKj0ptptj/gdIEwxb6YLBlQBWb8mTzzLxmUrc0gxWUsxTEgurVPy3MbDJuumw7ADm71ufKL
gHt2nM4Yms6dW6t1O+e6H8rh1PT6hwp5jxAoyfNifiIKOVwF+ZTexF1xW6TtjmSgm3ROj7oCuDGW
Np6MFpZZNeJjhrmJrR+6QJM4T6wR0Rlrerg18xIudTe0QIRMwHQwpc8ZgaXbBptyljMpHK4icu+b
rjZWBqtOYqjqrUFiT5DFt12hPQx9sY2QiK7IL924sYf4s/3iRKzQDDu5M8Nh43V5t4pGgzQwe00c
zl0LSWLVwHe2B7Eb6n6rs/dquZJzQ18rpR7mQtzmQUVm8YgYuc3S/n6conusrIcaJrZbui8AY/zR
kTUJRLAHkrj+WiC4x7m6AwjO4hKOt9AFLVL/rg/hqQBHUQmDZBjHI9+NLETLimn0B8Aj4W0U9xch
k30lczDUcpM5hd+NwalpFLUNWtO5XaK3brga1yYiWA6KuwkJOhp7hseWCLY4uJ5FjR6KNwTqGur8
QmbTPiWw+lBn+JuYLbIW1I5pMz+iZ8Arl7UMZNVD0sN6S7jROoxdfueaH70u+Zg47kVVWbIioif1
EQ1P0M4GvFBB7+6/nfX/XnqCGdDfXnrtx//zs4/1xz9ee8uX/n7tGb8wNDOQOUl2ejSbP1x7+GgE
AgDJ/t9c1FG/zc6WhR0aV2488Y1SyXLwt9mZzeyMSRs5NjwnxqJc+CezM+MPtElmc9gjsI9KkE8w
dH68JBwjNLKslupquqBZAPcs4Ptl5ryAMswxNA5DkG4zrBVFXiB7YtbymmO7oC3euqi2oUjcOChp
EqldZw2EG6sdoqccdc4WDwev1vOEqcP1SkAzDf20q7WbHuPHr0ld7cxGYPGDqMS5G0Oo1Kt6Tkp9
Q/oT4UWuZBpmjPrNzEuGUlz0uyiIEE5KDqVCb8kUNDzYaDWZxeG0NohCnQNFR61LBflnyNdaAH6a
BSJBbYDkbFhu62gkG73v9afeaEnOnjaD2TasYkS6mFWJC63lZ/I5I7/M+f9WHklQkNu+rRFgSRbJ
Zw876mYKiDbuctrLbGJsAuPikJWcDCxHN6pAo6krNKtSasOZJFEMNX1e+KJOntjz03pl8Fq4wq4Y
OsFyQLsbZmTxdvfIqA2wUFo9LSPNssKegjXjLEZI/nAmlvF/0a0LLStplFmXeYs9NK26S1mCqEkn
lW3nXsPaKI+yMAkS7+89GHNLpyuxEBl7x6oYO6Txl57dVljMN7OZ9+ymBJiepH7JWqwwnQJgFJfn
LnKTVamDOw7Jb9dmVqwqDegrFS1Y2SbWOjPtQ9Lad2kwgechzBjET7ipRO5uB019rkwCw1iRgW2H
XVlpO6Xn5zyPr5QlJ8uizc1Fc6p6npmga26r2G5XbspHozNw2Ajav4apTZN0u6qyLo6MWMJ6SvMr
OB+IMYo1OJldnWi36aiay4yAhr8eI5POte9ppS4MbZcAxX7EViMc3yQWkc3sHK8y0TYognWSWgCD
NWGD9IuAmz4pLqEI3qaqn7aZ5u5CRstr2erPokJhY1UOYTvJeqpae+3G4V3IYMkYlx3nyALO+1Lb
A8auvuEzbOxDWLHdZP99brvmGqum0u6UcrL5fRqzdO+wY/LS8hnIZgW0tD81y9au6BatdOu9qlS/
b2X9xS0n5DGImedwSz2GwWY4eq22rXXzpLLoJlbqOCbNTaGy275gFlQ1ELiyoBsOdiC/Ms/rqMQG
S+ziLnDQEhX9/GDa8yWsqGyMLB62mEnH1WDZfF+xYy+3G5Z6iLwASJbWbS1fm6VeyjvvqeCmziik
arOm+GolWyMLYM98280mq02WTJPs7jjsWESRzmlK6NoxsOWAgs1q2jPiUqa/DOwgt907hrO4xh/m
ckSXuVR90VL/mXXLi5IT4u6FBgXQUidaFIxAm8N9tdSQ5lJNqqWu1DqeHOKB0VguVWdO+Umm+Ysj
iq+KsjRf6lOg2c8zgilpAEAblxpWLtWsXgfOih33Jxd94xmN8oWYNY4JXb/NFY46IhCMK7jEd2t2
xo0+D+9do82r3B7vYcSWB6vo35j2bCuhv0yxc3Gzaus1ebTOqZiZ4jQCSGP4oUBSyFqWO9yd2MeR
x1bWt16cnXScavNSxsgquEkIC1iTOL9XRCYfEWg9uey9+c4QlTzxaOjS3EUoptdzZZSY1pJxU2nm
ZeQ1uHWUd09BuicAPsbd1sP/JGTNLBNjFSsLEIbTrvldGRKlxB17pDBHFckV7dSO8L+yDbLNr6H3
OS6d+6a17lM+E+4BQkLDIqN6cm8x3m910ik5wlKxYvtYY2kYUE71yS6qmBrFSUZn0WpfYv53rgvj
X0pA5jK8iTAeoaaM+5PQjGLDH3TaS3O8HwuMTXkZrQmox3TtFnvy5pgxM445jGQLBxriSaI22B6h
PHXesNkhfIfrFY6sFkMxbrWoejDjYGcTqoDowu5IJ2FK6IXN59SMyDBprB0yJ3SqVXUJG3ag6AUe
Ojmehd4keKSrXQcGSKblDQPL7FAaA0nP470+qQ2p2BMzH+ekKm+vGdrwGM1Ttx068z312H03DpJ9
cIGI5TEU/ltPfdNGib9XdOL6iyfV/Ukx9Z2gE/WTYDmHGQC5OeMCeujfZwjWL+jL2TNiQYacs2w/
/1NMCQYPRAlIHYW6S3z6Up39p5gSCK2WwovlodCX8sz5J8UU5I0fhltLbw8EmZB4FOiCBAUbwen3
HbfBHdalta1ux1qHW9WLAd6uIB5aDPuIvpYxOqgJGAP6lV9CP+lZDqvRJoaUcGtdvcR50FzYQfKI
WVb1kMDj2suxa26GNCi/lC1zYycjBifKHKx6vEyxX9JjWbQ+2njb1Hl7rZJEvGq63W6NAMaHD6AK
k0YRFDcpIg1w29E9t4+8hgabHzOMht2M+PSpdSf5mvUOhClTdpe2iRzUUwWaZqfT0q0hQV1YnU4D
ZzXmu5Jd9iL1rNiHEvkRho3mYw/yZBPpLkExtTfsnATOD1vA8m4gITLDeMk1E5brHqMmdk6NNMjP
xB5H4mSQBDiN+I/SbsfGqNPeRegl0Q0mwo7g9aAp6qsTQWF0QmOMHqLEY5gxdA0cAtheznDjQqBm
GxiKaBQwk1mcFLhhyoFBNHA+bFZawQ4Eter0KenNCiM0tmiPOcerPSwWKM2Rir2mXWw5R+Rx6lDn
tIOaPy4lM6UpuZFQpDGxxCGo6qDsw088SbGvF/P8MWii+d2Ox5daq7ZFGB81h2M6N0AFDhIHplYO
oYHDuJt2KfsTSGLtdE7ViBym9dJxNeaK3Vw8hPG2yVuLerMngArU2QfhxNkh84wnC+7ZvtSYyUb6
0K8k4iCI5Y394EZlfmg10rDwsNs3CGn1dW4qT+f8luoxaPQcqGPmfdKcQTtaGUL2csyviHW1dd32
6EM0rRk3Q1ZV7ZpYcTRfmiIEqQyKeyxhiKOA/72F4MTWs+ckTyO0xLOTiOTSwF18NQLYF8O8LE7S
Wb3O3aideHjRsTjAnxj+BC9kyQ1PRVKTraxGhjlkpN5GPZExBbaRbF0I0TfsDsib6NH6t3BYZbNm
ajRg0UDWBdgIqplN0ZLhvh0H626ya6JadWUb76Uq5221tNBe2dgrNCvyX3X9r9oQ8fc6VQXs5s/a
2u8lquYv2HYYZbKIIfJlaRu/O4kZ60Mxw4bDKYja9LeT2HJ/ccE5cNo6xtJvLj/Gb20tJk0HQyVK
eHSqwJH+UYgM6tYfTuJl9klaA5IQF92/5TrmT2sG6vysTPVEv7JOYbkqF4+ZtbjN6qTb9IIXT8+D
dK8F1JqJ4T0HLfG6AUBbShfnU5tnDw5rCloXc921rU7XFX/qNP3Q9NUZckLo1xDdV3HFJszu221q
GW+DM4a7xhyaU15Vh6rnPZjjq9VqB+KeLwiZVkbdMKMhk8vvJ7gnTuPui5gqgpPKIWmgHWzlK22+
RfgX+BTm96bVIg51NKwBBZpVjTFZqT1qER1O0CfNCu4SG077lCUvWTy9DSHysEQm901NHnRdNT4a
gFOuV9kmgWgzKWVe9FJcIxqNlW6g8Wf42xfdyW2CL6U3nGLTfjOh596JEW1aWAToEYAehqb2OtRy
w1TP+FhPgIGH1F3PTf0cm/qXEGDyCg9l5VNNPo2OBkwVWbwC2JOm7mXKwmhj8DsEenqJ5/Jjk6hm
2wdpvIHTkfuRWaHEkMEhGFE91CzWOX+uDOTfWL/SLDjmeXSrXStStJdswFY9XgO3CVn9yWtq0tnL
Yd53g6HjgfeeE9vbdoO8gHfa6a2LkNNN7lj6kQtRjGe3mc8DUofNEJQvcSQtnwshocdPn6uGKzVN
2xc5DycQVTV74fyrcuuLaVjhOUrDGy8S0bog43poutY3WnPfBIyDmyp8NLOaoCHqTgCT3nGwu3KD
i+pLEToPYTDtiG4YN7QVx0mZ30bQ76DxTjNXjo1Kk3+3LxQlquhdGhuT9W6UtLegmbOzN+aP9lkZ
KXg+Es9t3qc1SQ3R2umar7lR7ROn3tm4Uf22q0OiltOL0VWbUnVwTlMyuHqteTD6egf07lVMBk0V
BqfSlXCrYaa0SuF4K/K7LongJTTkfrZz5mPa3UyL3pddnuunc30pvawB5h5gEpmsnRmqUyoFAA4m
tSlGZZEOxyRqEz+qp5saOwND2VM7w0vQ3NiZPnehqj9ERbs4wjykPTapA/dmSSJDyA421+700qvu
odfjMTHGGGm1vkWOQmiIGXxNQxLhpaeTaAHmW6+co1OMz41df2pTSoRSqTv8rDstSu8MSnnEGdK3
kH2UI9Y0y+nhaOn11pXtjWFlgl8OXY+DdNkak71qR7GJAio1L3NmP+kbfCRxvm7Rc1v29HG0EbWM
45sb4L72pif+0GyNE+0wxdq5qKJdlGqHgkEFgcN+mGRrTwv2ST5tU5dAipH1xCTmo1W2H4yqRmeB
zsvMx22fc41ZMddpTDYi0WuoBpzdwOQ/L3P+IM8t8UPT2G2Zyvs9CIZYIxokLZz1lDfrKPZe8iRh
EFNH6DwIN0ITgCYtt5GOpjRTOMlBU39umJDrgCqm0UFJjnEaMe4FRNcBMmHJup7oCYj+/G0lO5Nu
3zX1567ur8norptEPOpxiJphItwtRW4lZLERKW+hjmCnIrVjC7fpQXbBe2Xjs/Z6ahG8eei8+70R
QobVKtYeVn4b6Aw3IrQeSSzdlUs6VCS6y+AUp1FDspqnxNqE7iuh9CvG+HvwLat60nee05Hl13/Q
zfIQ0PGBW3Q2aZJx/o2FtiptdW91XuvHc30Veki0SrJf9LFl3N8E9vwI0Rg1THsXmN2xrnoEJszi
R29az7O5te16Y2nGAepxv24I0uAUtraebE9UdVuX6tT3UIpUpf4pC1CLtGb3ZiFL9ymPrQPCgFtj
0UaH4Z0xu2fPnXp/nmFh2/Nw1O0U2BUojrQMgUNq8aKflx0hJOOtlWnbNJtuTc/9SrQFcoQSNTiF
T+1qUJsxdA5Ysqa2vG0d92mMu8jPJYL3MZceIWZm9pKSDbQOy/5r0nSo8PTnrCsYwalz5LHtQPBw
zywGNHr9VYYT2yGjvInGcVsl81NqmIiz+vSZE3jTFPKu1gK1CnXvVbPrD2M1noY8Ap/f5Y6PrdRv
Dfiy6JKjkX6BNYhol+GgmA5B5WGvJ/IUnAdZGOlzn5EptjZAz2+1uR18d3Q3mR4fAM8zQBzyeT2q
6IvA5bGeejWum9r46M3z1agRm1AuhOvQNLbQsBPU8NVXBw4INtP0gqqC45LV4DpS8QeVmLcqN+/Z
3oCPU4JI6uazxO/LVo6hyXRt7PEwm5xftQOwBG3e0zhpz+WoHrOYQcRQWOsyYybnsujtU8xkYnZZ
F+H/z7qku6vhtG8kUQR7sYBvbEa2gNQMKIi/GqD+ejf7owqCRtGxkVkh9UMgS7e41EjfN4o4cQ0x
4R69Gg/56kVu+9vKZ7bkex8f75sLwp+N8tt9fJa7YR3t1TY6SiwGl2j377Dh27BB8oH+9fLmlaXE
HwcNy9d8t7WhhETqTAY25aqkfPy9vIVBAv8M8xN8km9ph9+Vt4wZBBUvf1RGcj+WtxYOddAl6Kf5
j5hc/IOtDTvqH8rb5flxGWdQsNImmexvfho0sJdNisxMxiszAY5C0IBOUD+2Ji7SZKEGzsT/PBJE
ml3NNs8fmoUuqOkGR/wcGL7BDCuEPdKuKmHd4E7VCTXkUZ+chGknnWu70Aujqv/kLTxDtZAN04Vx
6IVh6VODOb7XBepRgEKsdTwuLXDEHgf0NQ8rQngWciI3QLHrYBlvwh6uYmMYTzlihH3GMU+6EkFM
4K1wOkJLhMo4LnxGeyE1ZguzEfXIGzOMYe/BvILXEz9VC+ExWliP7UJ91Ba7pcFHcI0N2MGj3np7
zvvlmDJpBXOPSLISRC5UH6IECwyaxDe8KFanDGQSmNhdfu4qWnKPylYaBn4VSMIkVvkyKo96J2CS
hfrGDPtjWmuIG91nPs2LUiQO6a2CfmJTXxVp9CZ7QY2A11IN6kMIfG7hhW+wpSBDCOOHVnA1cujb
K6tg3G2HQDdnVGqanb9bIczlsbCPNkv+VTsXAOBlkmxbTRLJFgwou+X8yh8agbZdPigtuBHMMNw5
3ltLyJsorS/B1NySFNGfUxf4V92CCa0G9wbmOWLVYL6Rij9pW45rqFq3aW59Mq36wzykn7WgJNc9
IiopG6+kO4NeLjHNGlCi0CuaB4Qy0s+Ae66H0LsiRCZ7O19Oe4rRMadKdSzy5ozotQznOyEE0Rzg
q7Rx1hBWpLhOYHn4NrF17tWa9MT6tByG08FpiS7DinNiLzfnfm3UBF7JmoLXke8a5ScmErEytImb
FK5C4CXyovfZsWeRuHJwEEHIMs5ACHFjLfEEgW4wRJZuvJtkiqAV4x9TevO+Bh7o927NJiFMWUNB
H4GqMOF7Yq8EfXqr69xMdjrzIcdNcNCmBhe1pIYbeMF9nScV2Nx9VhSsCmNxGF2MOou+/rGIAnx1
At2OKsikkcmwYu2br81g8GehF+zpg/dpMvcxDNxDKuVj3QaQE4rWRwHkO453Ixr2+shcKfaGjoDy
zD5obi2uTovIG9VO60P9RCVei4c+VcoPWnnWwdT4HtsBX9fksWagdjQmdSK52jhUKuav1BJKar00
RnDVhnDLXGbciiHetVUdc5nmNYobMDHhFK3dKvsUZXLrqpJXndekLMHcmHn+RvLvcVwAOKnmuGuu
SuMaLXicYAHlECYeHgtBCkTnBjd9pQGK9Wz6AQK/Mwi+YNRozwLyaSajYRPEluFYTTNhnwukR69a
sXEbJXZTGIDwWWA+ZVWcwgXvMy2gH4JcZoTThrYTCwZIVeWdrXn1doYQhNrkpdRy69ZMIL9y+hHj
EgvPJ577qJHPHi6oIRvmUOUk4dcGCpEX8RrfOZCJ5m+MIiZO8Ir+vT9/HdYzz/nr+/OBkcd7/ccb
VPBV392gglH7olZdQAkml+vvN6hBljBWSPKCGeWby+zmN92DR17VMo8nTfg/mr7vBkQOQ3Vdx3Fs
MFxy/tGAiDnQH27Q5e7GLiS4yynFfqrAepNUiUrzpisLhWara1mxadgMpVAkcRGf8GuOklms1Bi+
BEV5GYbuQYcZLN0URU+NaS6OdHkei7HCCmciBSBRnCWD7meT1WxNo/Vu0I+pPTzr8s4UKAls0Won
+H6SbDf14s3oiTSpfy7YICKOmu/yGE12MGBY0crlbQpRx7pZ7xeqX1JRnNSP1YAwygUW1cXEZRS5
eZdaWnboOUewg8iNXkdyrzkjicNW0BwMRvgu3uZC+nGZ3gvDfR/S6gEXHaBTPJG1bmuHhLiTY+hl
dP2tV171jhmQad57dL2rgHECas6BuCJMoMvWLhi8i84ODgskl1fY3+np/Jx35ZOXVCdySN8QVO2S
MueHnQfTx0J9FnJZejCTmUv3CxdTijE0rXzX7E+Tsxxv2VD5WtdCEwSd6uFtTdkyMOdWAKEghWvV
BeXJSxIvLGarDKD65/VmkNOnOTZvjLjmH/DuxlGY+dw0lXvbWK427YgjpEWL+H5ox3u/Qg/nGphz
SrXDr7FF6L0zySjplk62nt9nl92FdPpTMcrad2qHq6RB1VB0Tck+mjSB2h1K8DM0+4MpPpRwMTuN
3NNKlJt+NDGcTu+Bw4FollyWQbgQKr52TqjWTopNqBWz2hp6m7EqNm+DerIBNVT6Ht0GUVrzR7ci
09UgdQwwm7L9mltiRQDToSf+JEnUXafnUIlsShg3Y3VcbSUhjD6C/11n2JCKwg+YtjyKn+YU1m22
7jXyUVzCUFZug74zTkOqxGnW905W0F/kDUCukHlOXHnP0G2oDtAhVI19Cga3RuLQwGiW8UeAcqjg
e/XRGYnGaUYtXjdaMO+DlskRAbXppgwFYgCTm0w35pJ4qlCsCPx7cAKHZ4oV9J6rBaQ3BUG3lAbB
UiTES7kAq+9E53hnU0cUS0FRLKUFbohzbpt7Aizw/1N9jEXTwFkzSSWLjIO+lCj2UqzIpWxJqF8U
KRSk1aDpprKhk/uQUOmUVDyJIOfMCKm1pIGdnnEGBtkboKj6JlkKJpZL/dmjhrKopRIBdqkpo71F
lTUk3s1oFg/xUn7l1GEZplVqC0ozdynSypB1XhvYr42q0ClSyTGPeU+W2m4yg93cscJAzmeD5liG
I5SCaqkJrTDONlqZfigoF0mXQGdPAVnryVuxVJSAjYnnXKpMVveXjrIzofw0KEOxNegbfZQbmwI1
WCpVRDo+uQ8Gl7D2CnaFlZs6qzrPVoPD9RtR8LYzoL50qYH7pRpuvtXFBg8eWhVxNVOFWaNaIOv/
Xou/tpXcIn99LT6+Rx//bG8i+arvrkUolHSJ3HBcZD+ETy+JjCAvQQsxEeDR//1aZE0tJOp00BUu
gevS+u8G2/Jw2S7cNTbcC9vyn4VASIMNzHf2DBrLhethLN8LOTxS/Z8ayyJjXJHxY1x7L0qbdWJB
wZY6dINCO3ZZiEiaJAG5RDgFfXcYh8lYMZGxN0bvHVuZ2n5pWcY2TKZHV1NILBIex8KIMxqmfJN0
5efQHHlkWfOOaDds1WlrS/t/9s6juZHkTMN/ZUL3YpQ3Byli4el9k+xLBZpkl/e+fv0+STNDg+7V
CDxgIwQdJDXJApBVmZ97TfOtsvEyGdC4WJqliXq8PgAr662ZWajaNLfa8phA3kwMT/UXvaX8qDF7
lt2mXuVdyr4OkeTGrTXCm7m5GJT+HB8o87xAsAjgWmfPmFQjysucexI7gD68xqEt63BYJnwqu4+Q
4W6klRJa7jwUJr92Ezwo6GMQ81qwc3UatlQ+NGCBOiGIrGFdEbmpcuqqIQl7k/JviAqvLPQiJjlv
PwqL2RLtNd6FumWkiT4pNeFUpXXHMd60IR61PV61dUlMQxFxXcfY2JrC0DarWwNfqfAiM6op7LjD
VpJpiJoaSsYJu3z0MbUv8ci1G5r+5ZNtri1d52N16eCni2WmvW8U41nZRcOMBsINoLX7DA/ego4U
yij+AWzqM3TprryWcqojDWgRGSlzfV/Gz9dArWiGepNJea1boMGy27CLDxDquOtD7IAHfIF7YRDc
1M4iwDHYSJ3HXFgIKzrjj1DYCqcmy9LGtJg14TscBMiVRMKLWMWU2MacGNxdghwBDVocfXrMQvAw
ToSb8VhVN2Zb3dkmzou6ms0jL0D/zsMDAZ/Qb5mGCksi/JF72/RmFZbJGbc+frLjC1oUrBDGAxgO
WH7q6c1ZLvz7ZOHkR8J2r+f1LVKYD4mX6gtXUx5y4f4HkVmouah0wHEGhCzXLkzhFjgWFS7VPK7L
RpYDKMjCVjAQDoO5ru1LwnPQQwp2qtkZGwFDwgFBBD2qfmgCn+0g0TJXwiqaNSZG5ylWXpWM1wh7
P5/mwu0wwJbZ9F0Q75iI4jbHHnF7RMpb4ZPoKgX2HZBlu6Fdei2zDN/uTzXMFVVMFul/n5qRjVVD
sGjUfXCEbnfscM1Kry9z6BBTc7CI5+aN5SSnOGkSErRwmLmYO0ZodcvC7DGtby3h/pj1xM0szJ15
ZTnlNEPdb1KH6SKL8mPYWstKSq4r7CSjwjuqGU6sFIwmA7i2KsaTetMh6yW8KMu+P01idTyw5fjO
x7fSMIFsmHJn7dMZOFKd5CTA4zIWZpfggFWApBFCNcIK0/MxxcQZM9hv8MlU8csEGnYXK2TWNpO2
iYmnpm4ZN01ZnarCbNOPMmfWCwNOA6WJWSlMOQl3oGqbeunpFKGOOTJ/QJm3M90bBGxSOvmocyCJ
ztHD3zFmogVGkpTjB+qO5WORYhBK51jgfdUVIq3j1Bc2og7LOm1xFlVxGK07plWaMB1l+KrPorY0
VxGOpAay4ToOpYHvw5wQpqUx7qUyLqajqV25wmOmFAanRR1L8FCUC9QMQE/gm+hp6bkqbFGZIvw0
nWZZC7pukdruHCPo8xIkp4unautXdEGEySrclEDYrrpWch7jw9pbgXTg48waCItWue4PTDxbWw8z
eaDchrAmiadm2kXzWJi8jrJ/DGdZmuAo0M+kMv7pje4VgpcAHxUhPSbsYns/fChzemkZ4CRZWMpC
tCOVB1912HnSuKpxnrWEN95YjOcD8OS51KJeEzneZQ8vohG+tfjXOk7SoupbHsDrIo1WfG9aCLtb
jfHoNDahicA/uU3wxK09eU2+GaBri12uDR2KZOhaxUd3RPleIHDmeqsvSujftOIOA5x3w8qtVyMP
EQgUM5gYqCQMlnI/4tdreJzZvVAXwsm3UMpH2vrHNQ6/I06gVsDurIZmqmvKXQbzHm57NOkBAbsR
qTFuwbJXL/SWhwAqNyd3DuMIM0Ym8DFMbOsKMtLxqBuPUc1BGWhmNm9jQXenxqkhpSpaV076yjkt
HawEVb1jPkN7y47hQ1nCha9VJRpG5TnMEGZS2N0v5cFbEzvLeRb4zUTCW2Yu0/o9tW0AyICT1GVZ
lbdBpFwa+MxP0VG+Vqz6Dndtd1JyLkwqioYJUisKJ4iCD7H9Q3PtflnSO+Hz/ShDJBdSO3uo3JFU
NFTaWepr4wni+MbMzYszYh6Dfn7W5f5h7TB/q1vgErmUIbzTPLhCXli2igcNca8wdHC+kFyGlmjc
KVDKJzo9pYWTOS3qDbU+cUPElNhlxdS1jRMf2jz9pQBL4iBbZI23Ggykky3OSVT1cGNOL4ds9FGs
CL9HVn5vkDdrCF8sXRfydzhwD9z2UjFwDipaJr+jZO3ntVD9ScHrx6RGUACQRDUlpTqFIDDzhuRn
JEfZFFGh096CyVNJ3pGsBUxX6vynLaUeJAXnrhMqXFKRACdNTYQUoVLnkHtlOMvnJRr9nOaV4x7r
4Aj8QDckmqG4ScJmdoqTLI4zZtNlIHtoLYICGTGidAr/6L959HMeTVr5mzy6gVbz+Lm9ZPBXr3k0
+p2QoNkGYIaU54z4tb2kOHuwBhGqMZ68a94gQTVzD3wRup5Mb15Nz8FL1P4//6GhVkPLibkK9FRN
oTX19wY0H9tLKPM5Cu0eSD90VaCbvB/wIfMiF+hrNydjDB2FOe53QG2+wJdYE/rZs6GMEQtw8W3I
3OOAxsLMULpqWqbtWVJl+5bDWKcCvshYvaDeDg7xFT0eLDj1wEMuaV4/tPjrIqfUojAmQe1yO/U4
G4WkgWx606TKT9NevuFs/K5W+q1TeDBvfIe8R4zIHWlcxLokMSvwUdNC2sryJLKbPPwGseZ7PmTX
rY9USlbT+nBN81uJl2Dapze1I924KSIrsMOhwB23kX9UZ8H3KrMT1G+ts1Iz7mNQAPOELwZLDalK
aPcHjZLdJYM8IOyr4c1eY15axB1c/e56UPNy7tXdQtfhyakhzVza1jH+NPZD4SO/ZcfmUVXHV106
RlMbqxIjsi+ywHmgiD0LjB7fKlzhwX+G9dztgIPmLaLy6T0Niju3UE+Z7t+DOgN5FZXevEk7Tmsr
OfNyDMX8aqKH3vdYRQ0jj+181pkAbbo8u+8UB0tYRmnJAAkyV7VxNuCLsWCzl1OgxEcMMg4K3T1K
PfC1RKTFAFtULjtaac7KQyQDR46fgR4+Wkl5paErg2bcbeKNaHoJzCo3yZFLg/wbFI4qhwVkq8I8
J/k99p3+Zxw62Qx1CwgzrjxtSsBeKHrd6J5xode4GNlBdKV76s9GNVugKOLPjaZZoKx8m4DkqDLm
+HCqF02N5AeFUkixFd9Byo0Wat6cqL4h0xGiP1MotTGRka43x2ghWzlDEVteFrUPMCBCAqTJuWsw
ALqpapgIrJFBFSixmDgoLd0qPwzcpDgYk8iblSHCf2CxLqyYsXVqLJpCL5iwuzZXogoiOWHyPlYh
w3aeOANM6tQeeYiHinuYqLk378rxEvki3jW1Aba1C1duLkdbOwg6uBuWSlVVFS5ggRiOQttE96B0
bm2ssOik5T9kJSshkrnTsqN12cnBChQXPiuSv5JTKZxJFqxPWc6WJugSRcY7FAkkZ4XJ4MDown5M
wuIIt+UWybswn5dOvW96wzBTmzade0l/nRUGzFuILzyNycTU6h8VheRULhXAMSMkmASw0KGeRqRl
aDh4+7Hq+Nosirob1Y7Kdl5KlR98YxncmrmsBbnVDAxtYbqJnF5ZTYxrlV7no4bDT1z5U6TBrTOC
ZGCeDQUqGFrRe3cByLIq5hGaCL3Xk7wClQVtjKQJSCMgAd8iC/MLWQgCGf05Ck0H8IsCTO2sVjOY
3MRgMWwMi/YbS0bepwiQrpii8BUn9C81yH8xJCWzLxD11dTbqKP4OY7TvOGciX1l1pvWvezhH0Rt
OpTJOOnczEFxMdKNYh4EquVdybUVV3eq23oYXGujikaNnJjud/SHfP1YVoF7UYf3Tf5f6sQzXFfA
D34XLrO4SdJNAZO/+zNgOsKeTUEzlqGH/STU9howkZtFiAO/FUtlwPKWOgFgF5CBhuiZ+tR2ElOc
14CJjTGzGoImg5onEsXfCZimAFu8aTw9AXYZ7cBoVeFiiOnP+4CptAaPRZYkp6PhH+AOAxYyo8xn
L41pmOHogzV56MbHeh5HC0PDRqhRlkFen/oN+Ds4eeggnqfoUTWactBV+Tpq9Du3giqa1sf9qBx5
jr4afbMksGTD1Le8OxQIzjHwjuZmkqyBJJtT3R8orWKezJF9wKwGIlUcESTspE5vMs0/bOjJHqWA
2mxfIDIF1n4E21o60Q8Tn23NVajOsS5jLjzJnfC2U1pzkqUk8wYymmoDtT5CevS0MbMHM8vCiUH7
AdlNy5wGbaTs44R+VNfWvuYmV9rQPwIePK50R4DQrugFZCg9eUvAB4emwTmRteapkVkHcY2emOMb
1xpCKngIfO98c1G1HKQlpimTzrHPdKeEkQ8ht4tOwo7+taS40walHpzLqUqVUrphRkz7iQ6+bIRH
TCR63JQHxMMiYr8RY8MUjQoaSk6ykELne08MNdrmSG/s7CQvzqG7LhJAvVRhp5YBCFfracWBuAvR
adDAe2kKbN1Yum1194ZScmE2DZkIvXj67cmPYGiuc0nGiWVE1Evpw5OhZelwxTuXexfEWGQm3wp9
3xwqu0bvCBsVGlvtiScjBwyaF1MVs5sOTXvpD+Gc/41pLLDEWV2k3xo+hosrzTQKpH4CkmRpBDJr
YyvTTB6gn3IfwlDihJPteJYNNg7zg3YR2Nlh17kPekFUDEzzSs/MC4nW7RQD1SMnIcFpDAslsZwG
C1X5hQSK2YBDiTYGqOm+CK9sN7235WCWugmMseghTMtvnkMGxsCUoTVfapW7SociJ1GSktybUmkv
NB1qXmCBAc+CCPJ/A/1C6PNGoGrbVaRq8Txt+oEWQfNoG0Y+003g2gTv2yxL5g4YWGGD5pNiVcGU
VgZyAr2C0kBV9sBxQdSNPUADU3HyY9hzqKlFF27e2FNdDmkFBcDMoULaqFXQNY1L1JMQZ6AnEwFG
rW4D0zpC4+QibbNgagXIrkvKOC6TNARx55bdwhlSnkxN/Z6nxaXdcuONzpsNxngiN+6D20rKTGsN
tILti6ZzV51GR1Zx3X2LjI+xJXW0bdqLntHntKQHOVG9COhFRxYWFgjzSuOwhideTZFU8GCa89e1
VB7UrTSTIxrRgwUXPIZijAjREu3YZD5EFyitKYB8URQc11I0rOvWvPL69iqKYR/29lmkQhTtvFEH
34lSlBZI3yDrpNAfrbk/1gt/aM0D4JlkgiJfAuDu4eoxrLmvwwGDOhQbQZhgPaLNVEl/VPvqOJal
Y3BJ6Rz13nTOFG0N73g15LUxpRc+cLuYNkF0sSZDCd1aLbrLxOoyJnC1snTxKRLuOHyeNk5nXcMT
yL//VGNSpcGI3Umkiz51LF0UjfxYJTwSupkEB5llXedlcVLFUFzx8HzMc8x+MJqswt6cSGqsz0mA
wb8qdD7lsTxyFeQlAXVAWx3twyLlS9MwhBBep3c63ruLDKzVzAts/DVblOYRmVq5WFyuMmVYFybK
LQ5Hox4FiwJBu6lPhB9r/7SKNZzP0faZDYF2iV10B2szOysqeYl71lU+clZmyqXiFXQCRyZxcmat
QZdhXu4fqHy5WRfI5sSQm2s8AZUpnujFPA5B/JQGD3VUuXetOd6VdXHhV7q38mKJQarSCJ3sCBWx
5jK38f4sI+6vJjH41cpu2llornlJ+QNCEkcFesu+c8pBt/QKH1axXl0hMfwtUuubskBdOY6aG91h
YKqonTKTZdU/JHsFTW77xnTwyQEzD1IWGtH7ZRVepqa2HHMUx91IueuiXgZRHjKkdcKp7QDw1nKT
xE791prnXXUwurddcKj72nlK8g6X8FtIozVAmtJU0nqJVeOJmmORlMdKtZJD81HhoJ8rvXPWBiZb
WwdmLhlDTOY7BvPYok0e6Posc7qjKo8vWrqYVh9z/AJ6GgflEjbVoZ/RTgm85gagUTiRi/qgqE9a
k1ahgUCOB6gZGZ1gFmdOsFSLEjBcGdwow7hEISI8SiWOf7yfj53Bkhbw86OFVvfhZFQ0jbGpzd1y
k3mXewdYbkjTyrSxHlMyzykwrGYITP/x0Q4S/7hLa7BrEMoN6ybMkm6JYbOgJxfjcKL4cjD1K+4z
o2pz5dnMpwN3mnF+HbhA/04VrcxO5ZEupFvV+j6+gycg8m173egDw5Ee/Qo/t4s5wSOE5OctEkM5
VnNjn9PowKTgjmwddnqNHKFU6tq3wMo5IdrCm+iVtPIL/UTXK2+V+vIjuLVH+Ok/CDkoJvj9apCl
WWKj84bjl1bzGXHZymZRH9/3QZQynfIBFISAxV36xKln3vp90i4HpQ7nHT2vAu0kWMgjSHZJEEXM
Q4/Fzn/U8oGiuxeRa60koHfoulBc5z04hyZRplEsX7P8RHElfoT5fdCqnrXI0UYvK3MZ2ozGDQh3
C8p9SqlSFq7hYO2VortN6x71yPjSQM3PjI1r7GepJELsvMYI/Jm5KAM0A9gnCDr0C6XO8RnV7zlc
z2pcuKbYhzNzMosLbGkXHHDKstMZejsKYgM+iEVrhLZi1lAXwuSUliY6FK6PZrcTDfOyr3keOmpj
3xx9xlc4hfYod+cmjuNBpq5HTLXRXoAoig0KmBbzhCT3tizzo96KrWmWSHMFpJfR2XeElkXbgekr
2kN27spS0SaicyFmXqgvBfFxpxBqI+UocOtDN85u6BbeIltCjEitm0rtjzOqH3T9YY6GEo4FjuF9
ox2RYjga74/BQamXx73nLfJOZWAT2Oe+kROjJfO6ydvjsceRPQ1+xLqB4CPitJU2HLW93ayGcmDk
1JvHiWKnUzPhIJSgvhgBckGGvooy9aiTx8Om1DTAhVDQTPSdwi5JzjRIEdgK2xJgy1KdtT6yqVgC
CFEPFUZTkg7TvLIAzI3lqmIQBlQn/GF15DB235xZOex2p2yzpedU1VFSoLNVaB08MEArgDrwxkPR
1km6kJzTrdlcRsyE9cqspQPYxsnS9LN9h2wLm6lcC/GmwuI+mPy3e/ncvWQy/+ty7BvOHs0mVSCD
P/uzGrOpnlQV9LasoLH7Fgbw1L4U4ogGXmvPOnmv6Dh9Dx9j8JioBT2xJN/AALQ9grlKCacJTTxR
Pv0NfPn7WgwQgGPRVRVloqVAqxKwvrfshF7GJ6ssU5qXok/Hlkc/YRLQ4XuzLhvkJhX5E9rAYXph
6zpKkDKYel18kDcKdUpct4UZ6jmZoeFcR37B2Dmx4mFcAVAAhKXVaaPvoy06XiIkgaWZqWB6YVO7
5VloH5Te4BwqluBLW6XRn/kk7dqQUSWZg2dVh20UVtr3lr6afda5RdsuQgXQUou1K9BfKT7tsK9W
5kGeZ+o86+KmnaJwi2EbiOCUgcvgzAVxVJ5V6b0R692JRfV5qjdyHk+VHBrPInN7bRq3TG1i9LiZ
FHWZdiq3ihEdtXF4WtZRB6ELrLrvnEEZeDSq/CElKEHNvrKACqWdtjQkE0CazLeQ8gAyjLtwkrnR
J/vugEOEFiUArkplFg/FT9/2L5CYO1HU/GejtZcx0KY5h3J4Z0Wwzh1Ueo4lKy/RojHMgzjA1xHn
hDmEp4p0VdJ+6mGVrnQXqf+0LvI5qtOYlsWSASXePoYxdlKlSPgwQWKWQ+68rFPrelCk21iFGZuF
PhzFuvZUCxU9nM48RF/nQC+Dua2LS6ATokRmeV3qtdbPTDv1LyqvleYNxo1zp5fxKIKmyiqqoJyq
CEMEXSqHWWiMFwVGSQe+hFHK758xlU32pq/w9CyjFCGDaaDxL4YF7x+xYigLzwNTfUIAWjOaUy5R
8ZvA7IJfk65cdKRn3hxZhTkmrBPjQF9oc5RsptH/8awbQt7xne6pZmEby0TCELMH4tn7z2H0SM9h
jJGdkNofDDFOTJFXuNQ1ZCO2FTnzonWF2p9JfxEX8mPPKt0DhXtkRkUCM2M4cXDSmtjq+L3uM2dR
qchS1XW+cO3xu2VgQB+6EhTmsb8p4tyiqV8MU6tCoonZpkr1w7TZ8Pv5oDnLToH07GJjodsujp7O
atRAqqjqUtcN7FgwZ6aXD2E2SVdhT06p6ZSFcj7vOu9IdRFCiPA4mcHWwEo0RDmrLU465q3LwhOU
RM279sC9KlpyTGklU3HmSzniQbOcQl9gMn/5+1v8/hARUq/g62WkNXWH/pHmfDhEnFHtnDxxyxO5
TcIlBwEyZiWxXQr8uZEF+kQvvPXv3/KJPv7ubn54zw93U+pRymgjrzopPO0OR68pUj9M1ytrpScN
0nsugF2TboqFCqER465i6OlwNJYN3FHJOMoC+1YOKpDDlfST1inpXHGsZua57I73hld8T7qgmBU4
Uf7XeeulRcod+HVMvmt+cIcJzLiy7z/88x9//c1rQEZZBggdcgXoBTyr6r2Fq/Ncyfht0QllPMgU
8jUgO0Rx2GFMFFV+Bf2Zv9qjNhZesMAcfiRsU/8eLg87jXfHB8cYhxdKgGJ66Rgo4Hx44OK6rGWE
keTTGug4eBZjaYL8PlSlhmzWVnKck9lzUGdBrUZutcjQVZrWQNLLzEghPoKlgS5hHJUCuQ6FAwx7
Zy5bQO2x3efH5ShN8xacWW3fK2h9ztSkw/wGDarR7PYd115QJ8kzdCiXTcVIPXUElqnTr7u0XOmB
n15xymLLlOf3GGOi7pVfl4ouYNMaodYr7uPBiWZZpQPE6bpVn/c9Wu+Zn57Lmr1UQl0/kzSQx2bn
zOtOdqdJJ7kzCUsIwF0ULW69thrv3k1s9NaHFBNP/A337dRJJkUmXaBSFZ85NSKjiYnUXqwxWHMH
y5q5uGRNgayg4uIOdGZ14N+O9lAFJil+cWLXASWJH90GqnZVZ04+k0L1MY/ApLmjd10y+AmgqTQm
JyvstRW81wdmr+kk9P1V5PTnqYwWCvrzSeodhqNzpeD2hKkAugWlKl/lFsXgyE2ofRDhseviQ1hj
XNhUPSzp6hYVG87LHEJqwWyt0+UzYCLKzHeD88BB01NKOrs7GAa033HF+SmXUNPM9AQC2GE7ZN6+
FlYXjemANzFoZ45lUk0tEyAy+DeQQvHMGtG5QEm2KbhhqlVOHNxlo5UNSHgepJV96qj5sIxR8Z1Q
Le8jY+sglVU+qgWEA2e0vHOpiWhwB8a9g3v0STGoP2MsnUE+mHhZI+7lnFAkehg5ljAXIpweaoM2
Ycq86MDD7AycPvOx2D5FCxBQmkm33Buyn2C46BgojIVL9QQZF+RSkQLEf5E4ozTIKiqGtAz7lhCk
NN/N3P8WRegPlg04OdVnIqCiuljhoQvOCqQhog7frAB5DTf7kVD8NIoGFSOVzhU7/0lLf974gPjQ
sZ2mZCdTuS61fTMu9nMzOehrY6572umgRKcMT4U/oiOcRcIbuXOvjUSqViA+sqkvWddl7Rl8bPXI
zcmnJJv2NXgmYY8kXyRDfSDDtiqi8CIIvLnZxHedXP7AxD1DRhZvsKFqT+wyamZoBIpwmh5DJZEJ
DNIBUEl9acpCZ9IZohmiEUdyodwT67VZVQ83uaYiHaXki7wSTf96LGZD3+5H7iijaiGfdHH3wxec
CFOwI1IzKEAJ5LcatBUHAoUJkSIUjAobakUt41hRghOQBOsCj+4MF/LmsBeMjEFwM9LBeKiFgEah
Yn0OfaNwSxX6CIwOuqRLXC2/21A9YIFeK1A/FKk65/OB+NGNiQM5pBQsET7wzBvbbuZAILEFk6QZ
5YvK0b4PgmOCVFOM2DO8E5qx0j49oHKWQkppIafoCED5kFVswVrJEx2xCF1wWVzBahkFvyWhLi5d
ximh4L4kkGBCmWaCDX2IcXaF23sGVyYRrJnBhj9DvwTArUDhC24N8qHgvbz+PFRldF0M+d4WTJyn
8PL/QBX35SPO1vV6/hTvzpvHcrh4rBgfV681ofjpWRak9VX2n/3S7y/0Emmvhvzxn/9YPyRBOguq
ugzua2Lnxygsk6+9i9xPH+zpU//2OvGaaN488A5MKcnvHUfDafzpRe4dZ2htPf9YUlQV83IdoSKF
n/Beb9boV6vw+y/4vJy//53ffviPi6B+TF/+k0VQKdth3JHciBez34+LQF9Al6nqd2ER3j4IBkit
/+Ah4Av+9QxYe4JUgbyf8/z1qfPefX3aKky/aWhA6X967cIibNoO3LettwOTfpVGEUA38eJd3i2F
mPfb8EU4D3d0EUTHactFAO5Ag41VeLndn84EZY8Zq0IrbVcX4eWwehYV+fPE/lsHo7nHg6AJqv7z
k/BxU/AkgLmgPBGVy04ejKLQ2e5JEOQpBVUOvAufX58ORraD0KSjtNvVRfhIO/vb0YFFEHWtTov4
42Gg79E1BS5LcNjpc/E5am2zG8AFw0cnAgoTIl4bjgQ0CSmuhYXkDu4G8bG33Q2atcdQgZtN4+Lp
xTP/PjioeypphCW0a3dwDYTsztZrIFBtODGQDfziRFDREgZQxsG4o4sgQO3bHYsA3lVbBeMjbFjF
a0NsMJFbYDfsamyQP87h/vaxCHtWFYkQYlzPi/ApVRLa0TYsSTGa2sntIDqFWz4JzCIdrG0Jks9H
wsdzkdSZ2YWFSsaubgfx8G69COjZMoUUW/79gUjoBHTnaGh3vOyTnXwQjK0zJXYD1ZEBn+ZXhYOy
ZwBLsSGv7+pu2HoRdGXPEqNCVXQUxOtTgNQ5M3SNALmrEVJ4Km65GzAZMqiOqB2eF4EQ8H5TIMQv
IwKn7GwJKbAGWy6CvYdRn4lE3csafFoETgbB8gKct9Mng7Z9nKRIIAwy0GIyJV4fayjoeOD2Zaai
O3owvGzWbcoHaw8BR8cEfPz8PHwMkxTTQtXKgmPxtEa7WUSQ6GyfO8KjhC9CpHhprnzcGSJjsGF1
28qupk2fBEL/fu5I2mRZILFEA/vj4cgPLIa0u/oIfDJ0/fvf3uJhF8Po1wjxKUxSRyLtxvrs6iIo
24dJY09Dc0eI5jzt+E81FPtATCboRD5Ho90bPMjPB/Y25yJtFST0FOdza4mxC9gDiwbkjkYFZfu6
gVYBSkkGnPHnR+BTZDT2sH7kqKS4EK9d3Q0vT+h2D4JqQgjU5Jdi+uNSCIwN/QaB09rV5+H5Qd1m
EcicZZUNQWR4fn0IDorNpnBMtOuew/DuHQnK9umiuceJRxdR/0X5IIZx/IxG666eiwKsvWX5QJ2I
t6om/2oqzSLQVVBk8yUh28EnYfvRPAGQo9GCVfx8PG5osKG6oWATtKtngsB+bvck0FLQnScpEIjS
4sVXfZ8wynsGIGWdRGFXD8btq2l9D5NKVQMJ/rwIH8snDkYVsjl583P3aVcDpbZ1i4kZDDJvAE0R
WXx+fXwehMWADP/iJU/fwZNh+7QRAR8L6KwBsPbp9fF5ALSDKAFDWTGnYwPu3iKo27fen6ooxvMI
Mjy9eOjfnQzECGSyLYg46AmJ164uxfaJtGg+8wUt6yWR/rgUKhQnUP4aOOxdXYTtcwbOQMYsf7aY
PjWfRc6AOCsN+l19EoRs7XbhkjEEDVWNGfVzH+1Ts5FGGz/Ey1WohvDa1Ugh1FK2XAqTHtMzqe/p
m35eClBMDKohH+xqia0+n97blFQ4+4ouO5a/T0fgJ9wGzWd8w2VIQDv7JGwfLrHOpLvOMrzgGzcV
10K5TlafF2lXzwdt+6BJTIRsw1zmpftMPHgXNDkfQDUgvaftavf5BU2wxaYQY0pNMHRfcTzc7/eL
oMJNovMEvm9Hw6VQMd/yeNQQgZQxm31pv37uvzKzEeQsnL13dRG27zjZyF0C4ADH87zzP20HUX6K
/9Cp3uVw+TIo2GJTUFiJApJew69GdMoeRZdCC3JXT4aXI2ubRXgCr6GwJSLvuyOBOKlgO8AU96UE
39U9sX2zgeKS0lIX5j5Prw3RUnXoTzrObqeQ+vbRUhe9BFFG/3pWazpwo9BgeD4/dvSp0Lc/KYHD
W5hSyUKwULw+bhBaDgDAaM3s7IBCfw7mWxwPIMHB8XEMID3y9NrQkeWMkG1Si119ErbvwIk6m1xa
yKU8vT41G3gSkF8Bbbyzi7B9XYWCpy4znTV/1ZsXnHjRk8WtdDc7cMJZZ7sUku3AZNakNf2L45Ez
Ac4AODflOZTsaokphE22XgoEUizi5svx+CmRVKmrmPQDl97V5+ErYgQYN3Gvf80jxJubJPJFlHf3
2tKf1IL/E3CPYwsdXsZWm49HeY/+nKKgZ/nvPwn/xkr9SVCe+kH88ERNxolmE4P5V7/wysn9/PM3
xOMnvum73xRU5ec3f2bmiv//r/fM5acBxJufvg4knt7p5e9fvuLnN3/3Zq/f6/UfV8FjuS7vESJ4
Imy/fNCTdQK3+X9i/uth/ZYtK8RLRCfs9d8206z/PAt+f3WMNx5fL/SXMoogFfz1VT9zuP+9iyfr
h6x8vdCbi3N6bH3xibAgfb3Om2tzAGx97ek6Xrfckur1Wm+uz/O+/fXR664+3VIKEVrnX3DxtC7X
f0yzqt70FtS9W7/F7DH+4yQrN64/6dLW15/Hf8yykofn9Vpv1p+YtPX1FyXuVpsuTpqz9cWX8WOa
vl7nzQf/iu26apIfWfxQf7688hUbdj/JH8tgHW+4/Fds2f102LDoylfs2MPHcsOaCzTF1vfzMEi9
DQeBAEltfe2jdbThDBOY6S+4dFU9blqTr9igR1n1x/+k3mP8uGllvmKLHq8fOIBf1+GvbSQ48Vuv
zfG6DDYtzVdsUXFtZJk3fHSBFtj+oz+mD9l9sOn0EqTlL7h+ef/48Hqhv9Zd0Ce2v3jGZ3+9zptr
f8U2Pc42rslX7FIujdv547Dhk3/FTj1Z55uelq/YpyeP7fpz7mjgLvv6XbbIHU/LNUfA64Xe3M6v
2KJn8fr+cUPuKLjIWz+HZyhJb0ruxGhy64tfBKSOVfCwYWXEwGvr61+u70tKgrTeEEu1r9ill+v0
j8kjnkmb3uArturzG5TpunzYeJAJutoXLFP6xyx49DZ9ia/YteJLLNgB90F1v+k9vmL7ivc4yNZF
sylaaV+xh8U7HDVB9cfpj6DKN32Pr9jM4l2O1/Xjput/xX7m+vX6j8m6/LHelDOIGcpXPE+8xxRj
wg2HtZhcftU7lM34erG/zlQx+9j+Dfz1xppQzBS2vzg9jI1L8yWbOaiiYMia18/5ZmG+ZC9n8XpT
9iB6/9svDInJJlN4IWOy/cXrdRpU8bqpXi/2Zmm+ZOuKNsuGOCwEurb+9FeP/nrT0oiu/vYXJ8dH
7ff1Sn+ti2iUb3/131mUPnXxtsisrprfGrpte/nfGxRse/W7LN5wzgu67daL/hsV599/6k1t2T8B
5Z+bta/qjpv+7H0vWvzGffy4Lv/1vwAAAP//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plotArea>
      <cx:plotAreaRegion>
        <cx:series layoutId="regionMap" uniqueId="{F45AAC01-DA4E-442D-ADAB-CCB394FACEE6}">
          <cx:tx>
            <cx:txData>
              <cx:f>_xlchart.v5.14</cx:f>
              <cx:v>Sum of Quantity</cx:v>
            </cx:txData>
          </cx:tx>
          <cx:spPr>
            <a:ln>
              <a:solidFill>
                <a:schemeClr val="tx1">
                  <a:lumMod val="95000"/>
                  <a:lumOff val="5000"/>
                </a:schemeClr>
              </a:solidFill>
            </a:ln>
          </cx:spPr>
          <cx:dataId val="0"/>
          <cx:layoutPr>
            <cx:geography cultureLanguage="en-US" cultureRegion="US" attribution="Powered by Bing">
              <cx:geoCache provider="{E9337A44-BEBE-4D9F-B70C-5C5E7DAFC167}">
                <cx:binary>3H1Zc9tIEuZfcfh5oa4LqMLE9ERMAaBEXZYt+eoXBC3TuFEACvev34Qke0SQ8lARzdgdUt3RLZFZ
TOBD5Z1Z/7zv/3GfrlfVmz5Lc/2P+/7Pt2FdF//44w99H66zlT7JovtKafWjPrlX2R/qx4/ofv3H
92rVRXnwB0GY/XEfrqp63b/91z9htWCtLtX9qo5U/r5ZV8OHtW7SWv/mvZ1vvVl9z6LcjXRdRfc1
/vOts0qjH6rKo9XbzffIn2//na6y9ffVG0c1eT28fbPO66ge7oZi/efbjXXI2zd/zL9ui7U3KXBf
N9+BmPITgZggwqL2w4u/fZOqPHh628CEnBBOGLdg5cdvvQZWXsXRAz+r79+rtdZwZQ//3V5g4zLg
bvz7v9+F++luTAAEgMWfbz/mUb3+/ua2XtVr/fZNpNXD7aoGR02X+vH24d78sQnhv/45+wPcrdlf
nqE8v7X/7a1NIP8LyF76xlXV6rs6AMzihBPbMskTyrY9hxmdcNvGTJgWml54E+1XsbYb7+0l9kB8
m+jIML9afV9Xh9jX1oltEWoSbj7gOQG6ua/RCbIoEwzDo/B8Y+/P0W6cZ/R7gDyjODKE/53Bjq4O
sqUpiGVEBNuGlnNCbIrsXXt5f4Z2Azyj3wPgGcWRAeyu0zfXCuyDvx9jhk+4yQBMLF7QzuyEIEZB
O8/U86uY2o3z9hJ7QL1NdGRoOwpMjklg6/oQYlucoAlrSkEbTy8x39vkBIPUNjmGd56L7dfytRvz
navsAftOuiNDXjb1IfY4tU9MTChDJnsBcnximszCmMyMsr0Z2o31JvkeIG8SHBm6/06LKD+ACKfi
xLKpaeGX4MX2CYeXaXLQ48939P4c7cZ3Rr8HwDOKI0PYUWmjDyGzbdDBNqEA8aOpDap409QmJwgJ
atnM3ER4f452Izyj3wPhGcWxIbxKVy24U/rvt8RgG2NwqDDh/AWQ0YklpseAWTOQX8PUCzhvLbEP
1FtER4b2AuJJ+SFiJdYJp9gyTYwfFfI8VjJJbGHCD57t5/052o3zjH4PkGcUR4bwabrO8wPsZbC4
CDKxTWCrziU1tgXmEDfZ3MR7c7Ib2E3yPXDdJDgyWM+a7JtKv9d/P7IMopjCwoxtI8tOsIUpgkj3
46bexPc1LO2GeGuFPVDeojkyoL+q9BDyGSxqzpkNHtN8+0K4hDOOAelNePdlZDe0G9R7wLrx+SOD
9K5JV9Uh3CTrhFKECXqKWW7Fq0HpElsI0Ll0E9v9OdqN7ox+D3xnFEeG8DIr1lW0Sv9+6UwJ5JiI
MBnFjzY0ILmhfrF5YoLdZWIIa0+v2S5+DWe7sd5aYQ+0t2iODe98OISQtiCvTMDMAkH9U+FuYj05
VLZlwZbe3M/LPfl5AeHn1Pug+/zzR4bsxbo6hPVsnlD+EK583KS7JPUUw8aUQC3B84DWvvzsRnaD
eg9kNz5/bMhCZcohghyghCHAQRgzX9i09okF70Ekeg7tvgy9gO0G+T7gbhAcGbq3q3zKLVXNeAAd
DHUBnGGGsPUI8Y4EE6SUBdhhszjW67jajfOONfYAewfVkSF+uUoOYVPbJ5AbxhxBJcDDa0dg2sYm
tgSfYb0vP7tR3qDeA9+Nzx8dslqvD6CFIdLBIKUkbPCYHl5zW5pAPBreZsKaierL1b4cvYTuBv1e
+G5QHBnCX5tvh0kqYQAYgpQv5RsgKwz7VjBr5g/vy89udDeo98B24/NHhuyl0m/+nQfrdH0IW4ud
IJMQKn7aWnNFjMUJYRRKvECAT6+ZM/xK5najvWuRPUDfRXZk2N9GOokG1fz9FthU00WxKcjPiut5
egkqri0oGDChPHPTf3oNT7vx3lphD7C3aI4M6atVFR1AQUNhPRjaJpTfPpVcz/c3wGxSDOp5qvF6
7ibvzdBujDfJ9wB4k+DY0F1X99AT4Bygb4Iiy7aE9ZRP2oIXDDQB2htztkt8X+3N1wsob9LvA/Mm
xbHhDGWZ62o9HABpC9JNkHCi6MkS27K08YllWmCHzVtkrl7B0wsoz1fYB+c5zZEhfb0qDmFvg7Vl
Q+QLQlsP2xVtoQx9UOBOIVDcm+J6X352I7xBvQe6G58/MmQf4zxyVX1bHaQlhp0wgiaF+3Jdj2UL
yjCU6j28NoF+NXu7Ed+9zB7Q7yY8smfget2uDtLnCOlji3BB0VOR5tb+xlB5DxWabB733J+j3XjP
6PcAekZxZAi/q1bgUx9AT1PILkMDo7BeqKPH0OpqQk+UNXel9+doN8Iz+j0QnlEcGcI36ep+fZiO
N2E/YPzY17ato2EP86m6gPxKXz13rPbnazfOM/o9cJ5RHBnOYN8eonIALDFohvjlWNnzjvSpEggy
VBAYnXeu7snPbnQ3rmYPbDc+f2TI3qQNDEY4gIy2T2xqcWhDfzLB5thC1gJSFrYJHTObxtf+HO1G
d0a/B74ziiND+EMEjRI6+n4YRWwLZFL6VB+yXSDCoYKEIygimG3gVzG1G+ftJfaAepvoyNC+Xd1X
MLUjrw8jr00OLW4Mul8eXlt7Gp9AsS78QNHQ9JolMl7H227Ud6yxB+w7qI4O9/yNXMNYlEPgDhV+
JplaV18oFiKAOyIIyvFn1QXgyL6Cq5cQ31pjL8S3qI4S8SpfVd+jg1hn0EcBvYxYQLX2w2vuR4OX
RSBMBnb6pgJ/BP01jP0O+K119gZ/i/LIHoCrdf5d3R8Ge/sET741508xUpDkGzW9hEInLLconWz2
557Xq5jajfv2EntAvk10ZGjDrKs80umqOYSxzqGCCEEvnPVS+Ri422iqUeCzDObruNqN94419gB8
B9WxIQ7K043WwSE0OvRnYMhYQ4/GbGODUMcWFSD1n3T95vaeZPvePL0A99YS+6C9RXRkYN+tw1W2
+vv9cKgehB4bCwqQXkiFTFP/IBECU0ce6wtnNvv+fO1Ge0a/B9QziiPDedpAC4iL30f6Xv3cW3/P
dEcOpdwcmmx+RUQ3NTaZcmJQjUR3mGu/ONrnAdwN9MaF/VpmD7x3Ex4b7NG6OkimExrcLUSh1/nR
494OlKMTeBNyoeIxGzbb3rd78/UC6pv0+8C9SXFsOMP2voKhpIfQ2RzKjGBCHARMX4i+gCQnAux2
Ngf5NUy9gPPWEvtAvUV0hGifq1XZHKqsEEw0RkBs7/S/IepCbOjgsu3dWxvu/iuYexn3+SJ7Ij8n
Oz7sp9Yt6JE/gNUGJaVTPTh087xUc4hPpg55KGKYZU9Am76GrRdR31pkP9S3yI4N9XClp2v8u4tM
wUyHqXDgeNGXmkDICXhlSEAx+U+r8XE69+3eHL2A9Sb9PjBvUvwPIPx7FjcueRrc/e+fd3iHXf76
oesEJjpaUIj2KMRBNW+Y5ZDitjAnHFqAHrX6z+9+RPf5pPjHMNsunnYj+5x24xofL/H3N+V/bqT6
HdT2w6D8g2xNDr3SoIqfagW3sl4EMtkwZArGAm6C9wqWdiM4X2AHiht/guMD5iRHhvKtSlcHSXZM
pShQUjYVfz+85vsUwiSI2eBEbaW49uZoN8azK9rAc/fZCDOKo0M4V4cIhMFYR0ZtCyq/Xyruf4iJ
WgycrM1tfAvFRvtx9BLCG/R7IbxBcWwIT9OVD1E0CEkrSghM7nxSpfPYNjhM1rTLtwp/b/fm6AWE
N+n3QXiT4sgQvmtgAG92kBnL0GsnIOsMGL4gpxHYyQRjQSBd/Twx+RqedqO8tcIeOG/RHBnSn+AW
NwfxgOG4AwhbUvTSePyHKXFQAGyhWUryFSztxnm+wB4wz0mODOWpb7RQB5mo/RDUBOtaPAW55nYX
wGxbjAvQ2rv8o9dwthvtrRX2gHuL5sjwnlIyl02k37z7FuniELFsE3Y3saALB3JW02sO+zTTBIpK
4SSEHdmqV7K2G/eXrnEP+F8iPbKn4EpBedEB/OmpSBRB4ffPuVQQ0NoIiQD2EPWG9iw8U+F7M7Qb
8U3yPXDeJPh/ge7Lx9P9OunPXdUr7+GMwGcn1P3+3YfbA2cbzkifzKUdAaZffbDL73++hYowCgkH
2LG/jh+cFtowth6PgfppgG1SrSGC+udbOG4QjiWDNlxiCgZpK5hN9fZNt356C8qNCIRDJ61AMYEQ
dw6nLoVwhiEcbgdjY2F87BRugZNxQPdr1Ty9BWXmJpQxQUmiBa2f/NcZjjcqHQKV/7opT7+/yZvs
RkV5rWFhgt6+KR4/N7FrIuhLgZgdFMBBaA5mwE9uf3G/+jBNo4N78H9UYY6JOfj6HUrpXaL0LdHm
Rcb0+6QvYtm1LDwPkOwyzM7iYYjdLEn8hd9anVP3jS9RWZSSD13jqsH4gNg4OmHBsexYbUk94vc1
KolkNqyVcxV6aVzgpR1URBZhelvxPJZjroTEqr8ySqRklseF042t4Ri96bu85rGXtsSQVd2V1yjP
7qC13bzi7ZhfxoTUUlmklIGvA4+k/JRpO5CiVZ1jhWEgxyq/C3NB3dTICokqvSwLc+GLOvB0gonk
LFuPZfipQqkhU2KeKWrcGmOCpV/qq3EcWzmawTeIe8ayNJvBqVTn5dUyxpc4oN9bOGWTOrUdnCnl
B27XNkSWYxPDHUlSN0/7xCWjLrxiiFfdqArZ19X3pu7OcV100kZwQVXrL3UlbgaDF3LIPWO8bGp8
3jPxlxlbS4ViJu3BRK7NzcsqqG6irO8la0UhVY/fJVaVygA1HhYIIKFcyzoI9JJXDEntZx9I0LH3
thHe9yR/r3PRXPgpTZ0Ih3hBSkWk5i1eUKtqvMJXtZcmVez6SYdlhcQlicLl0ERMmlXoxiL/0Cc6
lmhssFfSjDtCD4O07Kz3LMRLLyjr9jaoEXV8bH8ODBVLFRWnJYrPdcLvmD2usBHkp9mQyBrVXtyG
tqtImMiCVqEsWHHWoZY4Vl2ewxg4DfiVpzbNYifxcY5uClbnt8Iv4YsrLYtEvRtZdR+pTi1Ja9zA
A76yVaRkFQf5eZjgL1XZXlWh3biGYLEbdXTdd8265cOw0HVfyFIL/4z35rcMtqhUwIqTRFayiLrm
1iSBvsgEOm/j+Gsx2hdjiUfHVOGp6ozLchgKqZFAizrwsVSJ38lK6+s6HmH7tHdh4H8rQy7Ocmr3
MjayW3+koexJ87mkfJmUdXAmTHUOI3tSqQYrWwidL63A/FiFKDxv69ySSTzewprdZdmardPbSnl1
YFVOHo2RbKs8WWB7Aq+ng4Ms33Kxzz5rFVdOOzaN1DrPzzVpeqc3OJfhEJUy1WntjL1WXwLkB2d5
GFY3sWXasqOl2+cDXogm+yTIGMugDhd9G2OpiYoAoCL3/DRuPB0lEez2mix1pEKpYit0K9Is0SjQ
shThkmM/PbWAF1ladJAgFmspMn2j43qUqszPWF2exYblxmqsZRzXsVOkBoadxmrHQKSXAwu5awfa
rRnOJYf/MZh5Ewe2VLr9iPv4wqyac0WHa5tVty1vGznq7DQ0/ETmmT/KPMHXbd98jJSZy3QIbzLW
vE+C7pNI+iudjV+0z7hM2hoEjoo/WS05Zz06G7S+q4WFZNnkSCKlqLTT/jLRpcdRpRbZILQkVX/l
V/R9kg+p13fY46Q4J02Ty0E3P5jp/xUF+B1T8bXRFjdlzEtHtPqb75u9bJLxSxpqKlkphJfH2V86
40T6gx/KmhR3KmQXvVEor03hqal9e0g+0SY2zyJm5fQUArfEC1V/bpuRcp8fDruhG+5VMVRRED4d
8fvr13/dqQz+eTgt9j9/nE4I/s9vp2s1pWz0/EOTCv/1qf+cODupzF/Hz84U8eMxwy9o6d+++bIK
f66LTSgg+Z32fp44egyhPKjEB6qf2htDd8A00QzBeYQmnJACC/7S3jB9Yeq9h5JiAQpgqkZ5Ut8M
guh46vdEU7YLjjp8pr4JzEiCBaGITUASFIYKv0Z9Y/iOTe1tQz0jjLu0IJ5PoYQCTIjn2rseqSrK
pumv847aXtv5IagFGvPESXjXvrcMcziP+zZPPISS+mutWPsxYbovpbbz8vOzu7fDmJhG5s65AaME
5u2CbQInME95oufcsHwoEjts2mtS5vg6SMbclw1XVuj0sNNs2Xas+crbwohklYm6dMq4SgLpj5oz
B9pj8+92XaN3sEbYuCRN8cfRNAQ+HSzTX+PBwP3i9xwTCHlvcQyzcGDopG1yOEpjso6eWT8s4iFg
O9TXtDeDwLX6Mf3YQn6ELmo+KFO2Q49Bb3BfyJFbQySHBNHTrK0G7Fatqr+HvdbYiYzCdDWcr93K
OgtRK3llJoEXqDi8SRr7PNN2qF0I2NufdFheJGln9l6kDesqqsI2O/39VW3DAC3jCAbTwyGaUOT8
cNHPLooPRtAZRaqvcxAgn1QgwNBhCYFHo8ib/qbrK/u28HH65fdfOz1rzy1JMCHBUuUUToyCCWGE
Tmw9+1oT9QErdJBf52LE1zgJm+tcV04k/PDT778Jts/WN9nQiMVhFigMpBKz56zI2TCWVaiuRYHY
quxUlZ76tRiITIrQQ2WTjg5Fg1BOTM0u+28Pzdxkhqsk0yR4BidjwQks86+H3FoUBnkWXfMyMVdZ
3JirJJ14MMdMe1allBwQQH/apWUHBmGi+LpObb3s7IFd9hatkEO7WCVOzPPsI60KQt1QDMO6AI3h
ImMEy8q0FavOTGqNjfz93ZvOdJrdPhizCWIDhsLAMegwzn4TKGQ1Zm6avnGFGz9bRVWtA4mNpM6Z
pMOQB+ddGCXfAmEXlz0YxwtLsT5yCG75j5qPo3KGMOAOKLh2HVWUf2/NIuTnv2eSmVsgU0bhIZqS
0VDrZ3Jwkp8/TlYlIlSFNb2KWVn4tnBrOxxP+7qn9qJum8ap+hK9b7PBbGQYhtypcH6qSVWcpqwg
TpKW2YciNbNe8rQLPndxppaDrmtZmGXx0dKJcP0y951GxXEko5rGnfRjnV93haHflcZIvSDAdiyN
0c8zh7RhdmZadfqBxMFNMOS0l2nDy+vaL+9qkhnUBSsCbmQ0EJANrBlHiToRX6ahKb76qGHnoSXw
5Rj0re10KGQZHG03REtDVEMmu0GMLu5Mwx3j/r7QZX3bIIOH4HnVfOHrslkyn5C7MsRdcupzA0dy
DBP/G9RWVa2M8tL4q8l45haFJstE5cUSl3b6PWoLC/Y9zZLbyPZ7LtuSBeeVXzXOAPfhFDNivys7
MOBZV5ULjHvceikc1ho4bReI0mlJ6HuZppXbFPa70DcC5GKs6jNQNaRzchRbUtQ8/dJnKLwglV3c
mrQ2Txs7NshCW9m4EpaqPI36eFy0iQgWRt+jFdFp90MHRWE6I6lRI/OAtMGir2MFm6PrvCFoG7Go
lB+6aU2zsxw+KiGGWim40VnLZazj2HC433HJldmPktWp79DayLPTykq8gDUDet9RzNxIg4MHliYr
6wWtO1uf9pT3l1Yyjqn/vunKOsvkEKVDXn0P/ZCQ8avujJ5nobQrEOXqngxZXNNKNnXTFOi6Tuos
ATMsKsfT1m5qf5lVUVTImKTqFnGDLuOB0sZpAANfDiUCa24MMyHc3PdBH9Zp0pWelXQBcqq0xv67
sEQWV2fJwLvQHfrUri8tXVN4ojpfYd05DejChWWEsf+uha1jBU4pCgEPHE10tsjTqLJlWoLy8r2+
jSzH8KFYx5SDj3IGZ//6WeaAI9T5iy7laeZpH6yChZkH2eiI0QSJmZOENU4WVkYqWz0EYLBHRpZ5
KojED6NpeYRcpEh9GjHRiGvT8AP/PKfgoZuxk/e6HIczDSNAq9ArgpBnnq/bsVzYlc6jxZBa2XCG
tM4KxyRDGjngdQ3paRWVkeEArOSzUWQjdqEJP8lc+BcZ79IYGRpueZ5/jrPMzpa0suvUS8La+jA2
NaWL2FAEX4RdqDn4CSEJ61O/aov8FpQxPY+DkSSLpgAOPFWnwegJ3I+2I+Kh6K4yMcCjbcBWqVwf
4+a8oqaZuoFPg8bleQtwRlyDfZKPMR3XaQJpd1cAA5lLhywslxhF7CyIeGI5JElK6kYq8t2x8RNT
Gl1V2Dex38XMoVEZjzIr4tG4QH7KFrjwAxPYtXnh4SEc1TKMcBd4ic3CTk6fk9iO7Bwen4CWTt9F
xijrPjL+quDwj8GQEewjco3HB0dQtMygd0PakebaKuxBubld1ldmk4NKCjRPgMDOKNwtPwpx/nXE
aR6el0OW9gvdmWN0geugvmMxMVdm72e+FBge3kWT95x62hojYL7BceamtEy0Izrfi3BUfk27DiyL
OIjbW21a3beiCulZy7vA90RiIiJz4cM6ZqrifpFXLb4e+4Ky97o28R2uwdOTnWVo4dR44L3XkiyO
zqqekG6Zg89H3kUGtz/lqJwezjgu9SlPdahv+oHVwkFlB9iEHThRrtIgdC9Ag9mfqEDwdGcgJSsX
Il+9Wtba9slNXDVJ8oGI3GbLnsVdc1X39WR8hkN/YyaG1Xuqy+CrlZqiPj3J6vEUJXy6+In1DuQT
8FVk+JqZOVxFU5pwq8JEJaNjJy1snSINkuh9XnHY8lUDVkEA74FMJXUevisxG6pc0iJEAHdX9c1V
ZoSFlhFqyn7Rw6xG6g1tSSahAZvJgSsCAdLbeLKT6zz75BNqn4s2ioQUoZnAczEE1qrLKbDRV/Hw
gdY90hcBmLnxhSryJL4VoC1OdY7wdWkH5VdobrdKGbIwIudKBDbEgkIVtO5Q8bIDA3egpwWB2+pA
LGe4T9LEvOkbjdRZiYY2+dxZWaDPMt/IfgyjPcmQqExDF/wAQb2IDKFeFFZmfzaQny2yrgggMshA
zA1VF36IVK0v7CyJTdckFQlA7ME58bINif2pio028FKSwzYZDZ/aS5YrXK4zEMjDOZxuCHujmyS2
F5sG3NG+HVsPlExXXuCqIZbj22ndgqalLQLTu4z/quzWvjMGMNPPR7uu8Pda54OWGca8XUYdgaX6
DIejw7rACpYQ3Ag7x0hsazGqtq2v+oGnt3GrSym4PmNZ35pnY2cBOAnCejwt0kSpq9zq2aVRI6a8
sMyz9iIYuiJ0hKmz8A4sEf0d2TmIERCdupVJqDst7a4VJWiBobxNgxJHX7AaqYAwI1hgw8eipoYN
i2m/8kJuJMG54RfdtzBARuukXFvJMrIRft9rwx9Pq6bUkReNDTykEaljetMn6WheZ1aRprIsWmRd
MRyy3hnAutFeFxaAWifyKJDVyLNICq1TD/e0r9w2JaI6HUUJT3/C+oC7gz8g7fiFtsrPnTnguzis
4FkDTWd/gmcdIjq5nWMQsKSw44XIQquTffOViKYTWCZJyz+aJC87tzODml0xPxXth9LXdgXKHZ5o
r4gooAmOw9BfRrRO1CWvipDekB6l1tLvlQ3X1fdGcJVURtG5mfZBZoA11tRXaeoD/5WdBAsdiiR0
ux6h5VAy2PcDxM0jyfyQXz1YpU/ph5vn8fPnsYznoY19YiRX0X2ltPpRz4MkGwv9fx5J2ZUMAU/i
5WSIA2NaH0okoHL8eRjmKZECtD+DKlCgZE5DKamNMZQyTQ7Ur6AKtO/BKQE/kxsW+Cb/yYlgBHVP
NsyY5xB3mVq0f+ZEOLT5Cgj3EOsxX2K/JqgCvtzMQTIhq/Iw6Rh8f/iZIjvPXQ8746OdQ8j1XdpG
YP46VanQedpjdp6P4C04sZV9HOIA0ge9cSly8N5iM2tlF1tumBtI4jq+64P6IhH9bYv6y8GH9EER
WraEnQEiLhrBcqw/ddlwzTO6NCNL0tRXshT6XdH351bRWE6flctoTDuZaQ02IMQ+fW73pxWlP6gI
aqfTZS5RlAwObCPiVYlRylGwRRPHwmEpWNS2Dr8OFkQWdcoGz66HzEVVcccsiA2zxiAOxCgcWozI
GbpasqBsnSr3P6c2dmtiQa5Da9eMum9Wk8jYLzMXjrm7h3hm5LRW9MUCLSUhtrKkvQCVFXEJttgX
K2Cnghej43d0EYrKkFRnZ8RqTbdV4kz3WeYOrK3AhOm/Dcr/ltX9O6TCUpoQn4qQHTkZS06TpF8K
cLIXuO8qiLQYSoqg+B4gZro9zr8UyowlDVvq+k29tnwyXutkWEWF6V80ZgTOoEkyGQaWZ+QCfyCa
Vy4DV8KJJqWjdG+fdl1ygc2y/SrstqKygczcAlxaZ2Q88pjP1SIdKHJS8Cw8EYZIBvaoZENyfTUg
0bsJRIEWAtIbrp8ag1NDqg4SAEnoGRG4OwOKfC9HOrqIkEpPhd3Vt8Rsx0+Q2gpdhcBESHSKriDw
zxdjlyRfVQVB6Ihz60urs+yDrnB5E1okWgpc9Zel7VO3HVJ1Diq8aqTBWHzpd3kxWbD9ZVONKZFj
hvxvvYgMASLXKJc5Qe8TZWMvDLviIxrgxp/6ELf7y4jt4AcTaeNlNgErrB4aLxHCGTLIpem4aGQ7
1vDcVGAbanJVDyPc9c4ru+BS5+VXMONtxyib6yrMuzPfr/sFRy1Et6myF9wMW8n64prVpF6UGYIo
R1V7JbYvwPUJZJJGYBnScfKX7dwdWYJdhUXk8mxAC9XQsPBIdMtpDt4p5GKuFByieZE0QfvJBgdq
aUFNngzBxjg1RD462qh+9MQ3zsC+dnsxRI+BiL9b5P/vCXMMYa2XhfnPg3y3BflE90uQUwiBQ1+u
NcVpYPY/CNJfghyi45C9NiGHDqJ+SlP/FORwXMSU8janqjeQ4g957ydBDu1BkHGHoNS0KgymhnD7
z/TAhnKGpP7T78+T2/M4F4SgKfSVTa2i8BSDQN8U43UzdCVEBrqbBp0HILWHD0r/l1ArnDK2oSvg
KuDcbQ4l8xbMAIT4zXSW63NdgY2KxnGiixva2THSkpk6SWRISU5vQgT5R7dUVp+8H1VkiespUPWl
CjhJ3sPAucEJUdYT2NKFo8FTKUOwg/zUs2jkjREeZDNSZxjSGx/iQqkyIH5lnxmluq1REcghxN5Y
8g99pM/AnARxl4GbFdXYNVl5DvbSO0Mk39IhWRm+D9GbYhmn8ZcBMnrOGIXvglp7gqRLHoKVi/vq
R9VwsGujzk1Lxk+jEjwaI8OpBDv7rGyLxGl4/BESmiXVDlzel8BCS7BvQQ7j4rzs83UKUW7p90wW
Q7b2C0jmi6yABD3qBSRaq0WRNpd+zTtX5CBwq45A2pejb73OzykzMhez/K7FwTnEuT5WfZhKEtWf
k2zQTjh099pi5wOr8kUZF1d52HeuXXIKCso3HV9Vt9A3U4G/ASnsYKBXWZBXTq3p+7SzA2dsmy9G
TEHQguFvEp5JQeofkJlLHRERJXmpbnLFLnhXMa9gZSTTpIzPLAhpSzDJA6ePm9yLClJI3IpEsmL8
jCGeSAFOqRrjg9kZucxIetdldiFtkXw1yopJ0hVLcODi67TusBMaybk2wB9AuGQSi+AyqO9prBY2
qPso64jD+lI7dpp/9seWOX4pclcF+LwSTeXWLT8duXlfRH0H4cLqouHsXoCn4Yo4+iEy3joBgyBi
Wdt3QWn9YFEHPnK0jkqzc7COz0ICOXwMyloF2U1L9DccxxB9YjXo6CRfphHEXVhbLyIBAaqGgipk
uu48ZiDbMfPmprGNj23QaMdI62VIw8rDLLwN+rp0FQ8aJ/epl7Kq8tqAe6MC/GwR3xLaOkkLKqG3
288JGi0ZDdaPOLb/MnGiwH8nFBLYiS8NP0yu8iytnCCOCgfkyscAnKScmQWk8um7IOXcDRUESHDf
/9XGKTw9Xdl44v+ydybdleNWEv5F8OEAguSyObxRehpT04ZHmSlxAggOGEj++g5mdZUzXWX7uNde
2ioln/hI4N6ILy4s7kcYrq8tKx6ZcZrENN0HdS3bmdH50pb8y1R3XjIT7DGmVNciJJ+KRK8kWmjC
2irF4TYTzO8C7UYerkx6ufKX9th7ePpzS8ehOPS4G/Eau8NjUNo1KViLpzzm7RfYQfExWOfmlvn2
cRi8A1n7DwErv257nnDZf0cDP6gkrMtcq6jetVad9Vg3z5SqjLOCpxN76uJ83i/V0lwJUCI1Ifej
bmLIwg0f6qwQED2Njc4knGUGiVWmEw+CZMXzW/r9fpb+NZ0CkYYj2ZNwSnu8myiP+sskw5cqCj5q
B5Yf2p8hoau7E7xPTbWc4VO+k1mfrapPItCvpabNtubcj52bA9S5l65/tC65X5YwY6R88lr2OkUB
9mvnHNtyAy5uIYVdr5ParbpFH7581wb6YRU2WTupNodakLYDKuVphNUfBbuxN5cwlPk4tDzx1zWr
6sAmMgaM0UQkKQi5WdT4JOq4zQtvAklVgVOZn8n0EWg8iYaFO582oUiLznKRxIWtu7TRCyG5Y5bw
KSzNvB+G0UubckaNG/Wqv7S+/yIkJQ8wNPLQdJBdeYN1K2kl7ZdEBKu/V4sc04ijc4x88dQO0w7I
0Yu1/GkayKsjYPk7OlhvseENu5EP74PnHqvR/z4X0Q3Ez0vM4zLrRFSjloWSWQ8mSknD651YRfxI
oTdel6J6qMvya+ONJLWt5udxXcK8FwrITOcsKVXVa+fhW7TVY13LJot9ctJmetHQCR4i4otdQdAQ
9Ph8iamx90B8whqgCWfZpPv1hqiIPLLGX7JliW1ejkAg8JZPz0U86YyqEDZGp6Ns4CqjzJiDcZXd
F94I3V3IZW87p0oN72MAIG2Nl70ODhY9wWFqDYQydT/RKh2Yu28MNYkkBfgbHxQXcx/7QL6M7vxQ
BiM7xlS/yNhKNBZrcfmpFvmLnf1Xh/PHprsdBLjtuF6EA4n+YWdnXPfgbgd9KyObM/emiR4ZPnWA
pqehz//6Wr9WEdu14N/D5kOniqQ6Dr/5dYOfJjkrz072Niryon0all1F/o2f+e8usf38J+cUNiHn
VnN72+PFBAiWVOaN9g//j78DXhqERIYaa6MNf77IVKGnajprb/3xcZBXMwGecvzXl/jz14Jb9dMl
2K+XUBqioktne0ujBzHsVqFyVCFd+N4s/+ZKv5qD//el/HSl7ZP8dMd4ZQLBFP6YYVkTt2Np5Z20
uLYmN+K0ivXfWKbbB/+7tf3b5WA445x3B6JFsPEcP19Olc28jsq1t3x4cRUcRfZYVudFvPy4f//t
NRy8NP+814DPqae/kozwW390GjhjDvM/8A4CL4G9hW/gj04DgUZ8RVgHgK9SVPp/dBp+jB4E7A4m
SOBL25qNv0tG0d+AKKBv8SGXbojtf9RpeOGfJaMQR4RvjQ4+QgSg99cnZIZAAw+hoDft2ofLEVWE
8L+aylfFDfRpX4hrAj/0EBUhT4muHhZa0qRltM86T0MxKlidYB1ocx0rmmEvdw6ObZssmv0x1Ua+
u8tappA23tdhmjPhgycZJ3bmooQ9UDS3zQBRtizwxomJJiaCMBwtq3OoYzZlrXYLeKctNCoiTF6N
imcVQx3SYZl3w/rZuOyu9rs942JM5Zx1ZkUHoGxiHOGAQ5R3K+A5yeRxQqGR1FzC81KkTGNI1Uk9
ru9xM94xNjhoLD0Gas679RzFrzVd5Q5uUJd5BZcwYodPvyjfdaNVKkiYq+XDzl6QwYzODfHLjIvu
evboc9+V4Csj2x/oBPt99G2ftr1bJb4kgHGieExdM5/9tW5yb1w/dFTstDRnN7Z7N4Sz1cv95E/5
iNLJa1wDyxUtzGj8DxWDDrCABGMn8Vb/qlvWwxrARdZlMaJyUakR9WOkeZdx3h8EQJ5ZNo88JplS
3V0/OueK6BTyM0yMQNwZfKVaUIAncz12e0XcaBex/uQG4ms3VWBtw+LKMfEVLMUOylzRsVPke+Od
Ozt98daMvPTyyZdld0dWtfR74XYLmN7WeVnWJpYJM+03L/B3czVa6Pz6G4S9Xeihr7ERflxr+zFQ
d0obyFqJMPNBLdWFdkWUEzsvu0FVn5awEfXV8sqc+FGt851r3DeAJydHrq+1aeKUBZOfhyX9Xnvz
yTrl8saroQUX0QP18DsgjMAMAgfgZjDewW85hGNErgBAPC41/iz0dqCwy+immKc6jaoVIGSQ6Uq1
KIZYnCu2OIc1/HQbSeEeqiejYB2JnnoZh5XZlrG/D0gNMgGMR+8G2Qh5LSWy+la2w5pyvay7yAIN
b5Zy75HptbbyIPHapF3UzQmsXPSS0wo+tkOPBptktrQAJUxul4K8jMqBqOq7WeM1X4KiKmEEeyH4
aNCpIEtgfBx42IbgjuWpCyaLVrqHphkFScXaz6lSN72g72YqrhgHGdsuzQWI0LmHApkwGZ9RiYaJ
56PVaSAvjlVdJY0ydj/M8EtU5buJFyPw30avK0pfwYOjM5Wvfuv3DythVUKqCDSJF3wJSfUwA3Z3
YvsyVLQ+9lV8XOfhXJRRfy7k9MLmYg8K64EwhiYsuiHxdFc57KOn60WI8dBKPJsrg2LXu53OgKTc
GyP3LVy8Utf7sanivJ3jDo3szN4mMx0rr9H3RWQqUCR8J2Z7Zmpq8/9ubc4WEHGxp/zzre36/fvH
+Bdb2/Zbv29tiP45ODY3wEltQRzi4L2ftrYtIoRNbcuHIvHN8KPf3RBYHpiRFkUYVhv9xpH+4Yaw
v2Fi8TZCBwey/hhw+p+IaBiQ+Uvxg4RItM2LwAkXHkwXoK7/UNURx10mT7nlTRGLXbiAlFHTD6p6
vPiKP/ctSfpZxdlaL6ewWMS+E+U1l/qA2NsHJWZIbRyklW+nVIb8DFevSNa4gYZjgBIRctfVNbhJ
ib4pEvwJFkCbFHUc57Tuv7kasq6K9EVpEEmuecUOhUWkhYqjmgSM8xuLeUbAKj2BQXcOXdGeS2EL
cEGByfCx5U7r+iJBsiSl671qHnbZUNM5mXw6ZVgXKZij4tPY6cPnAUtWzH/PI4mVBj7ng2yru7ns
3lfHPpFlgKTBSpPKoF7zlgSnAIBtplmFOxBXC6IU8msUNN+qcLwIIMXQuPAnargC+dS7t4TDKOLl
tezXcyNrs29G5Dqm2rsNmubW2YiyugaebyM1p5zRaI/6wIDFsd+KqZlS7uoaLnLEd2sVLBl3mkdj
lttar9gVHQXl3ufhFRSoh0kUmRAu8h523DWciozE67ni8alS87mXlZMCM4JYqcyxdJHNKSXSJywq
JdQsYEaknqIsrpz1ywSU7BDLQEO8CJu0hBp2goPQ7OJ2/k7MspxKU7mp0zllNokm2vs2IuB//Cs2
uMeBRv1u0UVxt5AOYg+0qd1SOg7qA4H+kgBT6nRX3UlG9nLTLuoQHszwtjj9up9KXyS8r8SuLcMa
YBvdhd04gIMzy4F1BYIXAwSbsAsTmNHfgAeKFIhqmXBCRc67ec6w/L7x0CJWMfbXEGSWDP/ogvW+
3jV1N2cOOIK6cFVuOjadPG+4b4uwykLPzFkzB3ggdRhcnIn6hxEEWFrq9ZseHT/pJw0zj1BAZW0X
p7qQ4aFuPJOtS3QdChqjcGMf0DogdMQu6GzVgUzDoxzQZs5KU/NdXy5R6hL20FX+mwnbBhLghGco
CvlBTTNkodI+ECSzjkBUvoH47cACFgiFlF2UOdrgMY7DW9BdczJQTg9EBK9x4311WrkPyaxyb56u
iSA97nME3cfCa6mGr0tMF3z54RBm3RSzO2dZFT25Kw54Ngke3jqfNx7Rtx+ITTzPJd55rwVJyzXK
VGA6u8VX/m1oxSvMpykrohpZqUlpxKOWp7lkKmWFHXPASklk4zaTUi1p28rnSGoLIhZEUS27pBjr
MXFh0J0hkQ9wPqsmWYLucZXFzcj6Kz3HU6Zl91mrARpiBS8rOpvIuVtVc17Xau+14lSR6tppsOFL
uLEJ5ZoCw6P3jmQmc/Hv7obZPUd+a9MQuBZESg/IHT448lqTpWeHOJ8MdCWcw21porksxHKSZHn3
nKVMBlcFyTCjCK4Xw071qnbRXM6FhqGl1HMHv1SiJsPGC2V3lA++1dOTnGf7Ohde3ybMmcx48Oso
eCtbGZzUBGjilpe8jI5qIPStKJlXXDdB3e5F3KpMx8UzaA2WB7OHR6MoeV7geTlQ2ZrcNitPLZ67
PIBFnOApfNVUH9ZWeFv3cKjYWiB2hgLc1mWXxLK4i9b1Zu5QaKMhXlMC1Zezsv2iMWwgFz1M57Hl
Xq7L5rMcw7uRoUQgNtgtyEofYBvwNOzDez9W38VinoZArju8xfuoGJ/WWFfJ4Ky3Ma3Pul2CtO+d
d3fGOi47e9NYce9al6dKFdNh4KTGs1bcgJ330kXBHiFoqAF8Wrc9dtIzWLi691CaKvc9PaYhq6/q
tvnqRRarwfx1Dr1dNyw9qv5gX1CAsyU3bQI85hHmemckQonIUiFwh6YFNQ4x0U3pBvXOLM0n8ysI
AupYdD5USF7nrqAuxPcOmKsZ/CQU9kGs/pxVBVa/UYhy1/l9lCyLEsA561zJeYVlLfaAi9xUWGkT
WLD3dRPEGR/Dq6IfbuXk1OlgLXBRiG9D5V1o5cIvL8kuGEdI+mH31DJ4WmK4oEvsUumw5yYy3xrL
gInP/Gz7WSZmVucC1kIwRInq65slkACPFTv1BVx83fQ7wD/HforeHD+q974jy5QR6SZauFedX/tp
sJgEsaQMhMVDGLd+ArPtAz7ruLMrFls/UudGIH4hAC3iP5x3IxtPVEVoLWuk8OoxPMLpwvqMkrU1
a9KS+gGgzfugw6M34P9Ty5WR5Kn18VU70ZCPWiosN2Yn3PKjieNDgCyeJPhp0UefyjTf+8k9C6/a
/7eeRD25HUbxr+rJ/+HIXn3/U0H526/9XlACr6HbMd4R0BXUhyGUvp+0EkgeGKLsIwkMvxY/+ntB
GcPGxDFW4G9gv24/+jtegyLUR2iAQQH9obD8B64skLp/LChD+LEMhmwIrNfBo/SrVoJFdIh1VOmb
Bt3lKeIxvR67+Rx1fEgDPT4xMCJDo9pDh3px/agk9Pc7jaDpMqzoLd2Z38VV3yWqXe5USU9yEnI3
8KlO3BXPf9i6ZF9zQxPaV7sS5tMRgLeD2gWJxMlOZZXGZuh2IkTT+rCU/StqN5kQOLxJCMoWaURv
oiczk/UU9N0MAGjZuALN22zZSAMF5KCMwR7UG4WwuBI8gtvGR74xCv1GK3gbtxD9RjA89D+Qhmij
G/qNczAjcbJwYx/kRkHwjYfwGGLLIxCJ9gcrUbppoEBPBMAooo2nMBtZYfg6wyYDbTFt3MVop4u7
kRgKSMYINGMBolE5KG+AbDi0PNuN4VAbzVHDH0b7H6XYonTebcxHWRCV42LlZ2Ele4PSYIrdEAxY
ZxBAQQc/uYd41Pew3h6ixun0sUedq+5qtxsOwdCn3VCxAzb9qXtgyomhnOgiNIkfFnTvu9Y0SVAE
n22h7REZV73XXdtmq+hul2a6oLA9dby6DI53jhTZycmeiGCZXIHzbVxTg6Rt3X+3nXdfq/j1v4vH
j2Z0I9n+eTMKUl59/Bno2H7pp6UDx91sZ0b/0XD+tHQ4IWYE4BykEMLpdqLG/y0d29kLgQtSLv5t
IsEG7f2+dOBkS2R38L4HgY9DdmL6n/Si4AP/tHQA9GMIT2JSJYZj/WMvavoZrWdZ+TfTTJ10nc3R
LnTI3MYHUMCGnUQBgUkBy3MIZQ/FPv02+tGVQow2CzYquZnxdKqxOisrnaRzOsiyzphEa6+zeTKX
eYRaSmN4YVJq1MrdawXfFqj8fUubfbeoE9rk+6FHy9QMCxA7LBV4b72rTgD6L0mIhilGsRwLBV64
+AJc8DlAGALR8nVO2SxugtK/gTedx4M8hXw4trAej6spoPK2qPpMNe8RnMy9qP/E8nWvbRmcurLY
I9H7NaoXQH3r04wFL2k9VH4+ggcJo6LL/L5InVlqFG3Vk3X1WzsDIaja6uChjEbDEo6JqJBgUYiW
p3XvX1oxnHhL/cSO4+eALg4WuUSxyKObWowYwlAON01g+tMsFCDfGgMOQiFbdKAjdF+nLC4Tk06G
UAlM/YGun5Fn2ouh4be1xs3tC1HdeUCIk2oaPyosEdeN5McgJkB4vX7ZV90U3Uz1LNDDWXxruqLJ
WKoybaFBIVbQVXDyXbYHKVgmbASBTeewvHNK392vPQr+oaw55kX4JboV+Iy18MvcWXhz8P2ZA8Or
vX1TbVHAFcE2NgM8R6L7IIrCBQaxOMiJTfWOQoPdUevzfBTK2yvpi7zzmyssc2f0Gjdt5x7VUq5Z
LaLPYm1YAu+Z5mSq/WzRS5O7Rbjsgafx3GkqgC7UXbCuDvFeNaDdmnnU+9gD/i3Qg2YOghP3nQ2j
ve4DlLuu0xwcB3iOMdxHGeyTO45pQolY8ZcOMwMtwRy2i0qioHxalKWy7HOCOAb46rY+BZgOsC+9
6nHxplt0aF1eAWtIpOq/Sg6buK4YIkBDTE99jNR56W4R1nW7RbXXvdkpaL50yJ4kUxV3h0Ujr+vN
KIOhUbs3AQDMpOrRVtS474k/En2ILOzxylLM+wh1/b0VwD6dJizAfAhycFSz0wG6lqLDQAFQ6ImI
AeXAzgFwQxtQi42NsrEXPGWmYXerO981s75nVkAhgUpfp9zjF0gO6oCAw6fq1q/KNdVO9a5OeMzH
6xqweurPDKX3wI5ssZBkSWjQlXT03iP6qY6lIpmjNHTSyptdF/p4/83iU4UrgbBUNRw9djVAa1ge
XWJdtHAlS6HPnzo4F7m1i5vERmM3RzfeI+8I56DM664jJ0Lhp/j+F4NJBmjPq0cxNKew6W4tmAtC
wuspeCtC76zRgL6ggfqwTF3NlJCkGxEjjqy2VxpJpUMcb+LVCKGrbJ0rD1er+upsDP0cEOxJ3ZVf
O9ZxExOHT2uEXGbdrGgJJvF9ChHWRJbrKJvlDkn2K1hCCBJuJCzIA+i8tQvUxlTAZBc5gxAIoUfj
P+8mr0/DyUd7t+ArdAdxo0n5wOfizZH6tadYHiKnN1nYjufauu9zy1g+tWCfzCTLnatd0Jg+wqwU
gE8zoZdaXcgzk7mGSfOsGZSskNDbeA6jRIqwO4LXxn+pwOPolpu0V/KsG+eADECXGlrsGkcONzWo
5ARYmpOQOc7UPH5MYGuSwAB6qTz2ivJBBLns5uvOU98kDY+dDl7QkQTHWrhJM65fEVhELE/OB/zR
fFd5YACEu4KsCS9Vg1UmlgQjG2zaxoCIjXQB0LEDyEB4ATXCnbW9w/ycK+5NIDBq/lVF8SHs/Itb
9ntCh32JOB6+03TmLv538F5FdZ1Otf6c6hB2sIV2JJej2vwfvXl7tL1DhIpgL9Ap95dzpfidgHXk
1tUjh5VUse4Qbt6ShsnEa5UivzImXTGFiYARVSAiWoNKcyYolDCqUMZ/FBp+EPYxsuynyJsijIBB
c16y7t6pgVv9tzb6URvRf8m7/naeQPI+fsVBB3+ukbZf/r1G+qHXhxQuNMWJ3Yhl/dReYZxbiJYG
3RMOrPh5JIQf/A0ACfR9RAqQkXcomqLfayRAtMzDfEccO4cEFv7Z/6RG+vNEgwCBBpyTE3qAX3Fy
4a/NlV9hTQPpTy+VeFunyzz/VjsjmfLXUC3deN+fYAj4AZgtTGEGwFtAbYco8K9X0MVEFWaZ6AsS
qbnn9Z9LTy+8aO6DUX0ia5WNzVhngmKgjEu6oxfGB0Sy8Hb0kJgJkxif4++7cDyQyXlsdLWjU/+d
cASavW05G+cU4BjiaBW/gUsZtFe+UQP4PzFBetkkphI3MQ2qQSw7Xy4r0hFOcJyrqfi0gXPt+wgi
ZYuqw4zSmn8fvI21R+gxp5MXJaNTkpcG46CyuKXfdDWLnXLDMqUtBjPAPJbYJKMbKF8k59H4Eo+l
nyNLvw0nova2wbwXFF1S7VxwvwkSfWcz1m+t510htpLFsViubGmGA+/koevUmo2IhxcB38OovsaG
6ifr2r0RxwYJSJlP0ZIbNcPExUyadadplEFhfwgbkRCnP/pD/NY6BNFnfVLgadEdL3dzG52ade6S
ch0zV7WnIQzfC9fYBAL9ocRSo9v6XSHwCz8CPXAQHXjZ3BDk9oPOQubyXhFqPcU6PIghuKLdALPV
M9fcXzMm/HzshwNbBpSsNH5qoHpCY+S3Y4HKb1pRONfOaz94CpxSc6KEPirutpuP3oLmow+ACGRa
TTNWw6g+LqAXk6ABqlg0bA8adUoka980jXPrjCm+i810VGaHqMcJiE0aU/NMpZ/aKriwCbChWm/a
mt5XougSTCvYh9RcIz15lIs9lnPzXBkotSK2B27sVeXxB+ZKGFQNf0ZQ4wm12TMr9E6OsNzXAMnz
8Y1R1aNFiPfEn14l/ngI+/OeLOv3lof5ElbpWASZ385XvW2iBBHcPqFLh380wq5HwyIpWfiGtwAW
QvNaFkWTzBMKH6I1Hpvhc5HNIVJNTv3+bVNpCXEeJgizSVs0mZnj1An417Ut7lpsUxjKVF61mIKy
x34DrpiEjxUCykOvq7SsS4zaEuJr7CLpRvrK5BEA4OtoA6brmq0Z6V2TBeyhiemLxuiNHUHoEJbJ
9vY09sFxmzPR0DKR6RyyYJjHhLjB/RyB29AL2EMDyCDBPIopjzmMJo8is2IndikR/8nrgD05sISA
WRfRVwSvwY1AVsQe2jON9xuDy6ZULAQeelObGq1Tza6GnmFSGW4FkOIeeARBz99wWWUY6DRiXgJx
crXSKcFkkvZeRgyToYSGkY4qNaowv0MN41khEdRjkgi2erDkrg/C3PWG6QAsq8nLWl8xt4Rk3Pbd
3l0hCCPRna+zBxWU8j6XahtqJmp+E3KHtykn0x2myZVpUfTfgnV5Ggv/PWyhYfjudQOVNo3hQWYL
J1dFixlgLncDgDnBjLJPigc4XwSvaljwZ91299agkoDvekORwsXKko4NzdD4Yvxd351hqmBBdPGh
w62qQO3Uw1bDGnUqwRAjPY2BZ1CXVnXFG7KvArgX3HluR5P6iCjYGGOzurl9o00RJBNKAxsVDOFs
Z04KWodfe4vM1gr+B9lGjGx4bF1hd2BA934oa3Q5Q5RW0doiOlCP12vUXnyvP7TgA9yBwT1EOzAL
TKlabZBhyTt6bqHzEpPfjnwxXxjpH4UnQLIkmmcTurEcqTAB9Ftr8CBMvnUbKQ5f53OYKge9DwbP
4XIU9TyjN9Ln45IubQietKnMvqNi2WPpr56LAVfwNH/shF9nLnbPk17G5sSb8tLFAUOs1Y+OaH6r
hMrwMRgwOSWhDUXu2gOWvdCi2KEZeGTF8hh1wfqCcRzoE7ScdoEu3SS0804tEdn3jun2chnQfuMX
EzSM+mWsebTbUkFASGpUcijT1IGaDl+x7Xd+JBAWFfKVmf7Y2Xo3h0uuJ3njLOGpHZYvTtXkpkZK
XPbVF809UEFDfEZc1UDjbsZMFhzxO43JIb3jvGLeip/5Mx1eNOvdrJfgENsKD3qIFgTCnf/izbF6
KLxgxpQ1EoNadpbfyrd/uj1Dpf1pc442ARewKkoNjAOEsrpJMT+Tip4QDOnApsOECpiN83pEMP/O
jtPuJ+HoLwDcTQ3+i+tQnBYS+rAG/1QEYBAMwKiquwjOryfmfcGqdBsJ8YblckQ8IcYXsPCDmfsd
j9rD5FVXlfEQu+jOWKmugmJKmri9qwp0f4OT+xVi77GCJ1R8SM0MxlYEQNWjC3NKlGt/aF5/8dH/
8pODZoCWRQOfberXz3coEFpCUWwx50WUSbk8Og0GY8irf32RGGrYr/cHMhnOYQCgjDuERMk/fA+T
htksWozCwiiMCdoyPfoSC4NTACtvjAnygpgXDGmSd12MZxC2jo0shZHZY6HyYXM2Apzxqu905ccP
HXYlwG0XsBgcb4nFVu4hKx/I8lIDmpqLAPfcw3vDhOXJEgfrfeDy91bx1OVlvV/tAJPWZXmFlEfe
Kv8bGT2oy+PWowwM8/ZiN5WDD71kbBNsRShtKnYcVu+jpuH7DGVcB06dzCG/XlaovCGGTIHvsM21
U/UiWWf4gaWraqhBTYhep3wqtCseBxtg/3DLq0Bg7ObEenVgEKmNxBbn9n6yYFJZ3jveDciTLptX
CD2uz68K510jyBqER6yLrxEB5h9a97A09JVv40W6vluTHm2TDyV9pSg9INK3GUIoMpuJOIxKBGgC
55N2zHuLCO+3hQd7hyHCGvLq2pMrogfTsKv9CS6+N98LxvglhqjisnU+D+H0W278n76V7l8+D3gh
IzwOkeP+OI/456eu8DFnBD9Tl9D13v14EtnaG35hBBg/1tO3cgowunCqUpfNWVTzMcGKeo27grBJ
1YYHzKK8VpgCYlfvOpDRi0+7ajeJYADe4sD2DqB7lkjwgPw0Ue5IitAtNvXMYlBHBgwO9QgWIkdI
aH/B8FCKek7dapLYDTRGhmKIa9cPO0zrQbKdvW9yLmgbiRyt8L4wb0HtvJSZj2wZgxuTjgGklNGy
lyZiR1t431k4b3EcLAMgA1k3PxZxcxWC4Buk/8CCBU9In+jFewiMuW6b6mGog3sRxnu2qJeoRZoG
daOTs0GjFhxMPmlrtjkKAFsaqDmFh52DkXeCZyLtY//V9cmLW5kBaSfMaapCZ2dWAnNklggljXvH
aY5IcOeexJigymS0hf8TRfYcYripdc2EbR6AH1ePwEovcTQfJ7m8+9b5Nvg41DaEBb/gc+oua017
IxHLCzu2s5JmVQh/qO7C1Ivru7Yn7RGDm3LMH8kZB3PT/xhIW6IvwctoSHwH5+mzDslmzTsp1c1O
KeRk2ISxGchwuy7DlB9/X/sDviW3FDnCEqndKtRWV1fELfLWtc9gKDZY5jaAQlpWEkAGOQvs4pXF
DFGXv5p+2g2YU4O5GTRztzATL+xOYXvvRtEjGzI0GW/JHurbeW3gnMcIoVm3tOnkYNFdPXfXuFES
2OgW+sOh7NS5tMNVFwWoehXHIJ4eHO7CwxMt7bn3Gvh0ErOp/L52McoK0TKM0yETugTOMHINI4N0
2CEBfsuCPAR9YaMLools2Ul6+F/2zmu3cSzrwq8yL8ACc7hlULRkOYcbwmW7mHPm0/8fqzq4XNU2
Gv9tYzBAY6YtShR19jl7r/UtZkR3pYg4JBMPOsNxj478WRxCxuh9H/O23BtOo0mSY8R+vh56dIzs
GzbwRhu4Dsam7tmFGMUiwvdR+/u19Elp+93K/eaXqizH3zfWAjm0ptgqE1g61P2+OWQ5/NQ+s/3h
PKkPEieWj0vFz9NQKjaV4u313h2n5TDMOV2wMhTFqwRMbbxcpMLB/aBuPr7Qwqr8pSbpTHJJYUPQ
p2pLZXzzyYam7asYn/ZxlqYA+MbYOJEvX2tNAJGmQCjEyGBflhEgXEmUDuaif9Vj2mdzPIvewOs6
jSR8A4d5MeaKyVCyu8Xsfl6IxlXK9o1TD5ZL+WoMUKjnbbDK2ugxx5AjhGl5GXSoWLQQQhNWs71G
y4+NhTdJYIvZ4q3zVjHuwDRelTPyBUXbdUq7BWywn4Npq4Eeg/azrynbyD72iYyQuhMW3ayDWvgu
K2svSv3tUNITTLGbtlqGZg9dCui3h2q06jt50cbT5As+uas/91t+fH1vb+o7dSQS/jyqfXM8muNj
OH+dzM9AeJ98acvj+uZLE4WUPXKQTMfIvCpjy66Um08ei48v8B7amelZIiZyMB01+RQhjeE2ieHk
fHyR5S68MdB8f8gRI5gIUnWyufV3j95oNMgNVT4FLU0aue2QsSe5Ya7wybexxCa8udDSnGLOaDCN
pPnF1vQ7+/DN7ZqQ9Q3BXKIot6Vnipp7na58V/BA5Dl3dm7fbXWnP/t6GTnh7eg9pd70lV90s1G2
H3/gJYbnzRv55Wf9/Y2+eSNWH1mlFbCMtKveFR3RG6+6dXYRrizPctJ6Ja25zyvJqW0GZJ7llr2n
HvPnj9+F9rt38fbpXBafN+8i9RvU9TX3/X7cyp5htyvrZNjnOERCd32nOWe6m62tY7gaN/mVtrn2
3WA9blj37HkNsBV9n524lovQfwNc8Ty0w9EO3Fs4GEeoIWtta22LPVKEm2x19fFbVz77Yb3bQQty
E6WQYnku7cIuV81ruSqvJbdywJO7oRt5KDh2xfr0fOZ1W83hwB7vYtvaxcfAofig9LNffOf243cl
/9z8/OXnrr+rDlgy+xp92nQMt5YdOvMmW/vXsKITBsa2bgP+ciYb3sex2siPNNK8j6+//E4++h29
W21YaoSpKafxKM6FZwzDnpnWse+w2n98nWVV+eg671YdMzKVvp9T+DQBLJDhWRw3g/51UrxKbGlF
rT6+2u+/6r9Wh/eHSSFj8dequDuGRsLJ77IMLv5/F3h35oNQk+p6xgEq0fZyTB/QMtyPr/DJF/Oe
Vkq6gJkD/Z+OBabrLFmV8v3cmZ98K5/dp3eraCOlTdwbcXscl28FPag1xs7/73O8e8C6Ym66vAFM
NPSjE+lHKJfIR08fX+STp8t4tyrpfiBMNOeoBqPuqFbuJWl7rkC7MxDixoN87IPok1v32++HLBY0
KGhbrGX88nYhxEKh+GXUdkc1+1bHqwQUf6KvP/5Yv/163lzj3Y8mDaxGwLQzHjUyGwTxIss+6Sp8
doF3SyJa3xFcRNUfRRZtmtGJkn5ym77Xx49++EtBeVMw0AKYGPV4jjkb2JUT7PpNcuCI4OxqJ/SC
c4ar+4/v2mLd/HCtWT71m0tK9P+kVg6pUfc0hnNW1UPAte3hCVrutrdPs1Pyf9iah77fNi8E+5KY
Cqr66aE6KTtO7bitvKm1N7kTrj97e78t5G+3Lu+fnKhmEu/zo5POl0Iu2A3CkW0uOXayVt273N6h
i99/E78u8pWbaQ+c45PVa3GwfniH3n3vvdDoYWVN7CVcHAYulmcZi+U+dS+to36mrDv3QV75dk7H
dlWvyzXYgU9W6M/egvGu7kGJENR8KNujsC9s/KezHb9oK8k19t3ruCm97MxY49/4hqvNGdfJeeDG
r588J78vvX9XiXfPSdIrGVZQHs16Na5A1tjRsqvbJs51vx23WxIx7PmIaPsOipSbrcq1cUJV5HYe
+k87fEw/WSm/y1R/+an8/XPX3t0SU7CYDREbeKw8da1jnXXH1byaz2Bm2c/B1l8ljrktNzT1zkbH
uPFMdge5166T1VXkLpuEPzYH/9nHZarQXy3eX0KYjk8lLeC/Axx+8AaXv/lzYr+EGusYwYGdk6n5
3SH+RtWoM30n0wMwgkqi6l+qRjKYTPTJyJ7/sIjzq/xzYm8ieMQYSuubYTu9SfPfTOwVcSmqfz9J
HFqw8oHp/x4UhhBAeVfX66rJVK2X53Pg3RnDrpaVxEoYOWvTjRRXaz80n9VBqly/7L6KHQEjOp1S
cVT3jeanbpUINyiaXYBSB22GDKW1mHb8tLXFIDrX8RpNvnkSU1TFkdTJYNzENRbQw6BoZ0VWrCHB
brpYPkflq9qmPmOTDhi6tfpA667oVq0ivQp6vsdljwe7V4ODoScMNEqoPWaleZO8GGUEcU2jZivi
pEZAbd4apXJq5PRcs9oIu0pOV0PpU2wQEyM7nAmTZl0wA7oK4M3mePixgMcM31MkhVOrvg5FEBPA
1JVPect1Jq1fzwLCQwUfoKBLm0xIxFUwSrCb0yH0WisSW0cOSnq+QeLJ5cC8mLa8y1jfiVJtZVXp
Vwywbjvx1su+WXcV+iunQNY5ztiaDDFcFUOyqfPcG4OWBjU9ulpNpa08FXtFTKOdhOPPzyf40bVI
mz7BawcF1rEG/QqQq76azJr8GvwooAJr9Zw9J0Oljm7KbOm21mjp1jRYsBMEbEgDUDn4j01gXseC
iZpJUDbq5L+KqghICmIr2o7MRZ+H2wT508L72xQhU5MqycTrybQa4JPaNstxsalBeSlJ6WbEx+mE
WiI5wUyTtogaf6vjQLQlMYE/GVurKEf+PYfR5FVwqG0tSJ6h5qPHqhaDvDDLl1ZFI3DWEg9qPU4a
UQpdoZVorw6ilZCkI2cHOEv5VmcsugmWzKkByti2BAo0GipiMRVBqS4bMUpKLa02Nc0l/8rEFLiT
9PCFSKjSM/3E2s1lGDGcqLd1FVyDDecc3MobVSjhArQoz8JO83r4V8jFin1u1oemyb4VI3JCdR72
4tjfl81k2NCpbzu5Qk2nWIrT+yX0RFP0sIKfwa8+yzJRdWozxjZm4tssgnU7aId8NvlJCLftINGU
HeZNLDOMAF15jrpu3ZnSSovi3KZhUdhW0qxjQz5L8YbbdEsf5xIAu5jcWCPQykzzt4Fcaeseu5AT
S1Xk1TGTySjMnywxOYSBgHIsgA1gWYc8tTat1hfOYAgvkR/dYDVjiyXQgIhl8UWJylu43q4QpMi9
CP996mvNEyThoYcKBKTRPCgjjE5p0pMLAFSPbdnvG1qGxtzsJ62krafugwixa1No5yNhVgfav+sU
frZXGvoeyK9T14vUTg4vGf13dhJNj7JxnQieOpn7MopWFtI+Bg4RGVOlcB31hoTLIr0waWE7clE/
lEJ7Geud7+TCfAo1v3B0pXWVgdY3HAZB0Ddzg4Sm9WkRizXeBHoPdhpaByTiW4NeepQxyVL51kHq
7HtjDNZJNj9aOtyxFvSEDl5Oq2MsnHHg0K4864Z5a5XRV1krRRtKu2tmg2WXUXzVptpXqw4rtxsZ
E+SVcYtINnekzOdHTMse/lXroXBhR2DN6QgGG6HHDw7RfxV3KVH/XHHd1/R/R3io7ODel93lD/8q
u8oXTTIsSu8fVqQ3Qjlij6nD4FwUy/pJKLdkJ4kiPBedFjXMnaUv9EfZBRwJvR3XO0Z4BUQwm9R/
4UP6+USoiSqwRvqEOKWwIKk/wI5vjh1MR+ImnXMZ8N+4EZPozAgSR+k/G8jDnfqpuvNJ2FUg7LOY
yTMQ/mVUTmBGgpQ6GU6aBpeiDURT9bS522URsp5CDrBDsiAg5SrO2eOfVUl5Y8hMZssGG/hA7ISX
1FKCzgzDITYgsmMQt9mCRqHHaXs/NCVedTPEgLN4AMImvSq5oCOX6akQI0APRo6RuZKZMIFZdxTk
6+jLzX2VjQ7ISn7qEM1duszo5pN85ev9SlY17Kjw7twmGRFB08I3jQNEL8vmY96Halo4/ahdEeBy
KWTjURC0I8IwLIEDmlrilrYA2I+DnwUAZqUb4BUpe5EeQ/6Cxuj69gKO+4o0qDvLrF/lwHgMsumh
njNUUoyOXHJRTlrt73Uji1a0eze65dfrhuG0o9T1TaEHm8ik2qRhuOew/zUfwmTVZ2Lp6v2EOKQY
S1foFiG7WsAQbudHKcsWtG98rppQexkHs31R3GoRoxnSDVXqUCCOYfAxXRpVtwY1vQn0QMAtQbjG
oCoRNDRyNEJZw5NdptQo1DaG9Wi1mSfiHu0qqkHTqQkeatGlD84mqInXidF9MycEO6KuHYS+A/yR
Y9YACYpVfTrKA4T/iW7sEEqQAaX0BFA/XinKsJ4z9RAEfmC3krq2eu5tOLAlFHSwBiW6QPjUG2wt
l0U+T64yN7eRTjphAFzdVtr0qhm6LdrJ3q0V8ZlWC1KHYbpNo0hbj8p8Lo/ECzZh3MOBr1+kVH6R
hxQszihtipSVWlMlGDnDGlfLRUZNGknxOjOUOXf0NH+e4/I+NBhWZ3pxDZ0mdtXKSDZDp6wNA32U
4q8QrYN55xEj8lBlfyZRLZ/yuAjq1WwKWMI1HTmaJI4Jgs5JrgkWICogd0VjWEnmsCjU63GXphp5
exN8AV/a1qrywi5kG2kS096iJiYwKfvbRFMWHT2lHEFEtEBnRilyk1jeKqW6kbCktCIWHrN6grF0
KSXCK2i5xK7QRRU8jTgnemDdTUvUwuCyA5S2OOnxgAz9mVmDLFpoe1i02SQ1fbR4/IYHPTYaNonl
IYhE32nKEa7TkqvQnJVx4vZtsxmGdtEpIQ20YqePReInCjZO/GSVPDlBetmngrCdU3oGYRCG6Ncm
zEl99KIPmO/jIVYg6UuXBJ0Ad2xfE+hLDkdwO9fLe9z1hKBuQ7Um8ULYMBR9GmPxcdamxDHSqbGn
9DFVryBa4OjodmWxEBGg/wBElVfiYthRWztkbD4o6qYHv1lLIe4Z9AgIyeJ2JUp4ioJeRfBF9R+L
wfWFmm3XUK47KT+fiuGhLtgmRJN6S1ybeSgFgnWuF3Z2YKq1vym+gzPfFJjTj8PQW5bv+8Y7q+ii
nANPpCGuFqX3MN+mgdfhT/p0GsAX2Ora341XxWEb045+yu9KL9mi37f9PYSgzo3Xn81zfj6iLYs4
l4fOwoEP6TNuhp+bVLXfab2gd/OpN55Kf2vRBrfGRwGt6cef83fXkZezKEI4XRXFd90mq6VmReRb
nKTojGw5O01frWC7aDQ+vs7P1e/H5+F+UgMZ5SJmf9errCq11DopFBnR72v9vFSgc6h3H19jEcm/
Odf+cZE3H+bdRbpQFBs5WW7aqrklWdXrN+KL6ZoAGw4Zz5h9WXu40lby5uZouql97A/R6rbxfO8i
3g32BvL7WevyL7rFiv96tx+/P3m5mX+fu3+8v8WBbCiIPZGyv3t/KRldoLZE6YR17+hfiJ54kO6C
HbFWgtPRotk9SOvROVarYYMeJtujeLjA07Qa7D+aSf9tJJdG4j9vJA+v9fPry6+7yOWv/tpFil/E
pcuiKQh88X7yf/3VvJG+yEQAkg5nGRJ8fb7fv93sjJplY6FR4kvlp/vXLlIBj4T/3bBIPALb/S8t
qWh7f3qIaN5gtdBp3nB2B3wDbfDnlUER5AHCb5KcS6La1ju6HaXoRH2mCiBPSOH0Mr3OJmhicXUh
GYnbydl2rrMNLUvRx1O6cHEGYpRa85YoInoTUX/NvrnmjItw+t5fUBl6mzMYQ9nhEIECR2PRdsZY
TEtZAy8HbaNIpvNRSHsb78YTdiXmoXWyLyF0kFETIpWpb0fYHQBacRmY4+0sDi86dA9+97yAMpeb
YNRWBK4VGxK0cdXH3/qilr0sznR2IABDyqFN2MhlJ0FVsMSJU7vsFs5NOCPsUXMby4DIlgm34Fib
m14vEWEnhAPo8oO6AEuGgoyBfoGYFEwwPGsBmxBLl3pWbZjIiXyYJFV43yVV6+ZameCCJcx3LkXy
jcM8BbajCOSR6224wekRENFbSoZiy4Yw2WMqpBsiGqgCaqytG5ohe7HKg0ujNcY7va8R8Bq0rJsx
0s4juFlOIEXSkTwEuOWqfArzgtCsBo2+XhktmWRxswoL8oHsPuPScmwCz63aDUkfdN/Dmh1LL43U
xsRvdrFU5xekUCh7s6wX1bI10URo8I9GO9WgVbWlhSAkK3lIiBMFTvBVqhTV7ajmRhXHh5Dw4s43
oVyh3gtzkkLQgK1EwIJqbKE2/+7jU+rkFaTWXdUkZ4UIaykzhnUKSsUxNO1QW8KhEeCYh1nkamV6
OYb5rpTrB1lIzuIhIllEzq6VIBy8dmklQixhz33MsxE4TNgaCQCqKZI9RemVGHJVGM8HSaMRJSaD
l5Qx4BCVmPJkCrddtvgdfBzFI11VL5uD53lku+ZjrQWChcW6wDtsa1YeOmqtPaMarW1NFRNnlFFw
KeHodVKLkXi6gRw+0urLNTfqkcWTp63Yvq8e6TtmLnR8aDTIFKGMwF+M+DdjXjeULM+YyFhKxAVB
pln02GdSLaYwYjgzikdDG0TOS6CbyKJtdqLY7nXqqdNqoG6itAGtl8mP+ohnxZ+Kq8EYI+LVBwv6
Mg68ih22BbAHNKSK+sEwXjM/eEkLMyVCG5xNzJQpFuITAZoDz4DsSWJnOBhFkbxJtC3yYrBWJo++
KKmgoEXwCq6vtUwzhaCYAQnFRpHs8qYtrr8vm//VD5EB5D/XDxKcn3oAe82vJWT5w7clhCBmC34J
zXddRWL3VwkRv1hUfs7mEiMA9pZ/lxDzC2BpmAY65UP5UXj+7P8bXwB0UkUME03/Qkv5N40IgH2/
lBBGDJQincdKRg/I+3s7Ac0DE/t3b+I7oEm/geK6pm+IVU0Z9p3RT1A75OZs7OQC5A+gcmvsTsjq
MLbn2ddalQu3ERqITaHmWQoujGDQFTjYNL6x1DOoEwbZDVvg6ka1mIaGMTtVgXUXahiuiL5hYCfO
e6L6zmpN3ZiFhVFeCNcAl+58iHAOvpLDXE/QQuBQbRDN7oIs5qCuarvZjMDqqcaBAnkTaGVnt5F5
YQ2UubyOLlqxfpI1FXioFtz2mYbolORcsiLJKoAudNBz4270k8aRwLNbaXGnI0C0EulsMNJrQcsO
LfxXh/S4m7z26VtKpID6iHhn9TLP45UUCA8yOuagClatWKFOrMuz0ijuGfcclTCL7VAb1/QpqE66
+tSmJmPkMeUQbbQe/qnQBiWTuko9ooD3q8kzzZwa1fcTdrXsvAZMiyFBoe8uI30fuuOQslYH8yCt
4aCvYihQY8LKRcc9dwR5Pim+/iy35XXSTavBxB6tBPlpVJkMhNk2krOWCKfmpHfGTVj5KDDV6V6P
aA5Eg1a6+BVwK+VRsVKiqQELbKzber6ox9xYSWG6G6X0NVw6JGaLJDuskY6lsu+AHz2Pe0PGgWls
RjO4qmBP0Z7HOobaV58AxMumuIoMxhIEW3hRO8deq7T9uu7M+1CHUdBVxCOkRbSWGCfYSVY8J4Ze
uHE7xVjHJAwcZMEtZ+h22oBCi+0si7/WtfKK8YE5jRhsgko90i7Zjj0y5EnsMy+eUvVW0RIiQycT
s7gfER9WkTKgb1NNIpwyXNVmkKwkcku9aRyRBQZMhsyuRLKda13rDb1wEZXDizUnQ+1QR2I6ytV6
rrCPGW2F97CSHY4xG0svQvpo1CUU9iamT3MjCwFWoHp8IlHzmgAmly6OJ6IBD3h0eY6su4JS54RV
218BbKi8yApGj2YNjCFS4zDgd5LXptggFC29tHqSwWVfscl93uaWfub3jcTuBi05zkp+FwZBSmZc
slNZvGckiokrWI+pIxLNt59ktgdC+KwEg3rR+tmlWavi4rqrIXnxWUIw5g5OD69RixRv63xeFPxS
4oxNExEOJ9/QzsKMc3spIivRY25grj+2rbRriotIVTEz1ubJNDN/O+rFcWQcZvftsLPk4kVt0tKu
pvgpU7MSKXaTuMIoJG4583wMGrkMaoVDI5yFtTI58fwoB8pLX5/FMYL4wYuKagIuzWPQZ/7TNJMM
KE/VwZ8TiQQnwhRosOQS9MupCm+FIHlNOn4ycl7wbC9+D6vaZiijoIkRkdan6TV5y9+svhicYOS5
g1a5pj8XeCqpDPTj5tbugyo/E+RRO0h5di1E8NLGnvxSE2+rZ1izj0mk53DmM3kIamRv4dAf+jox
KdZ0W1IrugprnmZNDWgYpXGI7YFvnFRT1DLTfFH4pQ4lCrpZk/XoSibhUqnqDi4HP6xwrogh6XVS
jZPEXzHSid2iatUN4V/AVMJdQgiw3SnVBebmfVo0V6IvYu6NCmxt/c4nr8BT5pkdRVMwaCHKTarv
EwuesKc3uR47TRfvu45NMKMNJZNX0eDTC4yjhgyyIFR/qIX+2xMsTZF/3hN46f/con56KX6zJ+AP
/9wT4OIHaGaJhsIJUgFG9mZPIH2RaAsgypd1BGML7f/PYyWoXp3UeQz+3536SyX/c0+wbBeWY6Am
mcse49/tCVT55wbNcqzkdeh2iapCf4bX/XlPUAX+qAk4Vc5JF70d8omep1K5AuMU24ib+kQqebDJ
acDeayozU4thKwZwsiPMDNJQI/T5DuU8M76Zvp/oq3f8+A2s+SaGRfzsq1kF6pNFM/5s0sCdVu0K
hsJWz9y7GVgA5ityl8klHM0QdLZxYxFpQ6cyX+kzxk9DK3b0V4JNrRjbNhrvfECG4HrKK0ZvEzb/
yNpIYvCcqzRXFXEPseZYiAzlYKxLtljH0mrSJA67g3CWDtF6qmheMyffUzce/FbetXrZkOvcXYl9
kK7IM2JsOOiiDcbnq07W4QaXMCvfqE0rqxhf9UJ/pRkQu4BsOrep+oM1Kvc5o/Nd2aUFVDLzSe7D
ixDv3Ja3+Wzl2XmiwTxR8JsIoV4UtyNocU8WpXUi+cVaK/UnuCSroIDf4bPGzVr2qqeSNxKaKBVp
uVaF8MWoh8sBo8gGarEJe10jxHkg1CaOBN3rhPHcCAcFTLF8G/nmoVd8VlxZ+s4YKHBcDdCE8mSN
d32r6O0jqcXEtiot4gSSIOdZHfamON2aKcad09iAeCvbcYa6QpvVOguF8tvchXjrqcleE3fEfI8G
3uBl2plF7MyqKLa2ZTWFF0oi30AgiYjm4pgum6E9B4nyMIuGjX3PsrrrTk+DI3z7cjcTdUMGrZBs
aBfAHRUvJSoSjWuTCsvWxE7E6HbZsjAoRuKqCCyTSoAdqNTL0dWKlpasUJyC2PdtnaMwipdr8uop
OHH90nUM21J9p3Y5t5hESj8e70otejGU7MwXMCflUoX2DwsfgM/uSYWJC1RdeRDk9JGRDV7swFgD
seW0GcYbWWTDYxSNO3Yz7ncYudUy288Td8SHmKfJme4bB6kDeWlOE6DP/JvIcc6j06Hb+NLg0iSB
hlMrfsZfdq/J8HHC8TIN27OpF67ZBz+2tGAZPOG86IQ9HvqjqPg3Yx7vpyHj2/Ll2yCDjx/W/rU/
GnvOiKTzyIG6UkpmIYlpHXNZffCN4YYDyAyqOI05TDKmIU/9a6Nal0ONZL2sUezAADSN/nyQ1Etl
4rNkfnRRN9IW2KODuWIXlIPd6TiwBO1rMLW3ywgsyDWYW9p5GM0bpc4wIkfszZvpXutMcx0HcK+T
CNcFyxwk4EqAWbaAgXwy4p0+qu/rJtspFmY3Rd4CfL4Fx4yzB7OyUynDtuQk7fDAgvMS0kuYV1/p
2QDISTAozrq5XkKHPSg2pue3ReMRlkoDwCJPQWXLHJdZTJJ36YyNtDJloF7LissqJRU0avpTgT2T
DWYrrrp+ughECK8SAQMit4A16UKZ9EPcWc+avtA3DP2G7ttBUasYDRCMpp42AOloLHF1OBPsJV7J
Vr5KDUDC8iKjagCsWZKWbjJ2elLasnNHWOLoPG/dHFzRrftqZHB4Atk8wIj010EgCCtmwpf0lWrg
YuhoJtn4KhPw7kl5atqqXnqTggkzi2QVnOK0SuAA1e3sX8XVjC2wlq7zqEd4RKTGcxkKR50wacyB
rBFRdDeE/XlthZtMM7/NjFW8lsMMgC0R4BnNLCdqNIE0jmbO7jJIcsFhxpWDCguGtCppe82sry12
p+CcDKI+5+KxmCOLQ0SvoNGY7/3ewhPXN1/1VqicuatP0E+OYSCdK5r/ODbdN6nD/a/k9S6dZS8J
1NTrWu2iS+YD0W5kuYp1weevPDMdz0RyDUGy4WzQBo5ebGSvlRH6lU8QbhHfxj1qmATzM+9mvocF
fmiq6TbThgugGSeeB27C2N1kCZnvGtsnWiCp3Yv5mvNsx1CsvcqV6SgB3RbHeK+K400uE3Craic9
aNzSUnPyXvlVg43Asqsz6tNUipwOKjOKsZnlIkZL1lh3iMpNXuWbOm5nWL4Ny47eshIpk61J8D51
CaiCXsbbeTbFrZAQ4R7rCLsizgzg/OQtIrDItdK48wqlRIku1gSxwJ2zg5HRs0zaw3+dmh98JYQa
/7wru4pe69+ClfirP7dkMp1+wngwT7NT1r7DH/9q00gMAUz5O2uAFsmCNfh7S0YmLgc7RQOvAGGJ
F/xzS2Z94UXkxXO9yCuXIcC/0IsAcHrfpoGphG2SaRGbP9l67wydaSmEchGJ56hU6HhmHKR16bEI
XkSL3YEfQaDMzyKTBzwaLPlsKPnfa9k415madlW5AqZyCUb9sWlmR5wEJElJeJ/X2rqiE095PZQ0
mTnIPEjgUe0UhPtsJPtWMxobezhLZdDdlGN+jU6zsjtLTJ0KRjlnl/LBjyNX1+S9BpAwk6qnOSQW
K57vZU7JTja2u1DLPdwihpPM0abpKobM+XxPLd0gnYgcDNKn0Qgf4iy/mc3izIqre2Sz1A5N/iYM
+R2HpFt4I2xfOjL8LGE1G/OJjD5Sc6pyTf575wwQbc2oZc/oE5Fp+AMbQxYJYTLtIFfXRiWs6qYH
YZiZt9UgoytpJ2NLbKBEvLW6jynMmD+EjT5EEFQwVW46iGeFinMNpt1Q6pdD2V2is6tvUm16Skvy
fPSKqhiKd2KmsVWCll2K4yFISs0eAghOWpxvWoo7s/Nur6rNVrdoU1e+tpuklybPHwO/u5lMjWYu
/Cf44gO8JZgAaaUcUkN9VYyS3EdNumGuwaZEVHsAbwQPNAFtjqHXifyZNnFD34IcurKPoPtxz4Ig
Vd1hYiWqiU5q+/rYjq0Uer4RF+sWjcK4bwtQnrNaiu22MGlwt4Y1cYhs49gma7wGIxMRc+Ax9G6t
JzjlA4NuTW5dPRHHzB4VqKdOhiAPbo0aukFYVU6pWoesqyrM/8pzHtacqH3SdUhWDW1ZLvinQXSH
uXkGiKQSGlh9MzX4khNUIvzHLJ4S7ORAg1Yyl9PeUIyjEAIkbeWS1xB1uxDC+3RUH3JzHBD/9Fdl
R3amJZQR6g/tJS6bb/I0vs5tPdlEIt0G6K6x+CoHHMcTOxJ5X+dC5MVDq3ionU+jTNqTYiUbNawf
SIhqVwp5Cp7mmw+sy9AEVB0pkTG8wLwb7DwdKAIZMSM52RSOSID1IQ2EY/CQ9m4eBLt8jF/UkcDy
jOclD2jKzXs9z9dxUV4w1Qi9MBlvSiJFCOwJ1mmIIx+FCv0W/c4HSLnW+F9MvPbBXF2QwetMqtCc
Dc1DriFB8SehIHzTmCOXlxptkQYnuT0CfcWUzW4IXacee9Ld+cbjsLrswHRuE8RJs54fZ2KWxrz8
pltq7aRqX4urakrq5//qyve6ojBw/aCuPOX/W4FkeI6a59+c+Jc//qu8yF8W5jjwc81YzvXUkL/K
i/IFyQUTXOA4+s8nfuMLpvNFvvf3X/1ZXowvVBzKEjXr+/TgX00BfikuXF4lF5v/8KJL++CnGYCW
IoqM/Xo+n9u7yvSJYW1/7Dz+EULy86Ca0zivKqKfxNRA9J34vby9ETyiW+Z8RggW7GQBDN5KS2lU
aS8kgL75An4j1fn5k/x6naWz8eY6hSCVSOs1ALIsnlJNM//l4wu86438eoVF1/HmCoFEwxoujoSM
zbB79cawviGlZi06t7qeDAnRafqHstt00aktfGrJawwIPjjJxUWbYzgo4Yztdc7qUGMZX1x08dVA
hupoZZ/cConx0c8Kk3f3/F0XR4nAtQ/1ci8Uz+fkXpV3HQcvUEDnAxsGnxF3NH0zQCJX/KOpR87H
t+q7jucniQtvQKIppSOqVTVERT/fqpxAzrYXjemcHgGwDsmq07ME1wv8vlKF4o4AFLQ7aPhdjdpI
64ZLKaUrMdDDdXoREHy9IOHlkqMaeTsLpKzt6nWa3cuZsuNk0DCCF2LpZlQyRFeJFeNyMuE4xbFX
w/0q6ajLfYUEc0IXB411Pu/1yMsCXFGVwGF2XtejdcrkE2jlld/dNz498OYaX8QBGSMJJbrbA4KW
adsoaHAMyD1TXLqJdl2UMFN04M9zVXMTJaeTujNDzLwFVVLdN3FmT4JiV0MOQk29YNIej9m6pyd0
k2mpXcLe9wrrulV1F9GAHfdYarQoUF01qgjYMYE8F0n60AoofrK5tv+PvTPbjRtLt/SrNPqeBmdy
A336IoIxTwpJtizdEJIsc56HTfLp+6NddtrOoU7inAa6gSwUCjBcGhwR3Psf1lqfILPKo2v6N57O
L1Xjb+8Qg76fH3zzl8dFRoI04aGZLurG2Pq76dg+GBt3V18IqTm2W8J2VrCYlmRd4sHc0157w6Oy
S9btRt3Y6KXif5NVND88v/0+v3+42KP++HCZado52fyRLZIdmY9ERta4TtaV+m+Oo/mj/1c/55cD
j80h8seQnwM5Pb0fPlXBMuqWVCy2/28egl8SS7/+k358CH7Zr8LLTmtDRPolNJbxTYJad8DitJDN
CvBhcJH/7p/2Ryegxk4DCosQLpEUP7+ERGoM7IQM/SKRSZJh3Ss3f/1Y/zwc/tc/6Icf8Mtrp+aR
k/eBrl+a3usIjpLKsiGA6b/2Q345ZcUgbGhW/BDRH6aKiey9bj/99Y/4oyvpxxfql+Nx5K6ua7Kr
LnPe1MDiSrVvRXwWlFhfftB/9y7kFBFv1RSf2/81f+fXglB9EHLt//75j83XP5OXO3sRf/rDKm+j
drx2b/V4+9awC//WcM7/z//sX/7LVHE/lm//8T+fP2VRDhe1raPXluvld4YLXrM/L4/W9VuT/0Fd
pPJV3+oizX1HDB7iOnYh/0om/l4XoY5A2Mayg/sDvO4Pbbfzjj9jjSSKZ/ZNzkuSb3WR9W4WTWh0
3SQRozH9W3nGWDR/Oig4IIVuW8K2XEfjUWIu8PPTlGQk4oPoc86gRfdBW/X5qZX6SNJU1pclwq2o
mzaubEgjDbNg+FCIEAhKIXIi1ds4fByM5i4Lq9ELcQ8vZdttKhl4SKoRmau5Dsw+pbsR8YsxR9wZ
uRWtRoUMrXyyzlAvAJqlymOByA7Gw4PsCi25tkAW7sjf3wq6ktwBCUbMKL1EpJwTP3flAqYZPAEl
eBzLNryB3hTZN2E6OjdW7qKbN8HPYjjj81N4lp+p+b3tKMbaZzwoV82g+e2lUpow+tAx/wZUlciH
RBchRIuk2EZhHI9MvuuTjM297KxbKzBHQsrzD+qU3ncmMe1FWL5CucsWdti9ZC3YnHqOpNWMlzAn
OLBWzLPd6egthg9dGFlLgz2M0iuekjF5C2ZNglkSYemOkk1pDhpNM8MHVuAukv+ELbF1l7hwvuIS
cq8SfaKCvs8680014cc1GS+K5bZXhwxYxmikIUu+P+OLMnkajYDxtIy26oTcvppdE1nq3leppq+L
PMnZK88po7G+DVsSzfq+9jIZ7YyQtGUrC9EG1A5CPjXJV8SQpczrxr1R6ldf77IlExoUG6a+RQ6p
IXsgekyMg75DrYffo1M/qQVgvq7JlopvEa3mNJssF89Eqh1s4RwaA6hw5BLXb0zijshXev+wWQ++
8skS0zpVh13pl+egBmxA8JhX1pO9JbuE/CC//NwWiOztCJVfp2SvMhSD14/5Rz7SLcHWvbO1540b
H68rgoOWNOHi3FqxwrrGv0kFjpigwGQSard+qbDhZpCNw7e2liA4miWfNy+0io/YdEkGDNp9yzvY
Nt2a6izaDBYyH1utitWUkwXYowWtrAetac+oUe/jtkiWkdp8yILwNjRDUIpqt9ECW9kxKzUWfVjf
jo5/D3HgOlWk05EZWHrAhAK0cBFjidq/6fyJ/Ddf2RmD8lpXSuipJhrN0WI2PGkCMl0HtCmwmo3r
qGTQmeO0L0rnEo8FqW8MWJZllxvLrMeUXJnyiGTmE+CjfdS5KfVFdLJjYkMj1TmACtI2qkip8yBb
azwAnqnFzzhu5XoU7QVn7cdeAWDJo94v4jGD/d4Zn7OxI2y1LG67qVy2ZFtPc93qOMO0MPOChXvS
v9fllG8Vk0+nP29SmjR6w9A6MZN2PlrSutOxo+z6gnFYWus7trOkubouuaWU57aJ30fNTHMtq/gS
BbZnK8ltlvZnVJUK/h2ckhIsaZQJtJU5UYopazxZSkxGNfOPKrfvcXD3aFjUz75uPqlG+ooTfFdJ
g/F60LLGU/Q3s1E+NLEjllmWfchkq690AaNqbLVNZGePxWgeLKXADD0Tj4FUOeZgX43YLR2uEJUA
3rB6MSA9FrpFAKviELpoVSd7xkFOcCGtfnqpDf2xcoWxFTM6shTOzTTDJF2UoZ5ZMxFCRAc/EOak
P8MnVae9C3OCRN1STbejWoyLboZVwpJ5Km3zrs1asFKhi5Sn86kVO7TJcVnmyzxSSSYqWfVYxls/
jUxuLBY6MySzn3GZyQzO7GeEJjkKcKtVFqWARV5xSZHz0YDcVH1pnaMZw9k3FamY+FY9Q69u5Qzr
HF1EXBr8zmQGeYLDoz0B7RmhZEUqGpYnFLK7Ef4n+X3kVcxIUH2Ggw4Gn9ayjl/tGRxa+vG0smCJ
BqYxQ0XBixZwRhMUX0Q92unadenaOA+nTQ6XtHatdV4rQCH8TcGm7BrOCFOriMRibCgjcYOJNUJr
oqCs0b/auV6unZmDCg81diJkajMilfV04MGAUZeQTMd92HWfkkqN12HZGnu9NFCUIdCB0hzk2zDP
p/eTzHhv5AhNcEa0KuzUFoGOFsWC32pkPkYqzSXh2OoPAYxXH9arEk2IaDXWin4yXWt4sFCI7lzF
sY94w9G6zNBY1m43JI3f5zoesjkif10arD86cJbEOLavBKbCrSEcZTO4eBFHjchKV58G0jPDmxZu
be5PqpfMKNsSpi2w+6MP4xZg900/Q2+NuFLhvtNPRhBxBWRcF8Vi2vjoABwowPaMz01x1ReGO678
Ga3L+A2rILRdrUuei0S5SaHwJtjGlyqGmVVca2ArzfIthSUeYO4mnACMbz0DfTuQNp5MiaefYb89
1F9fdKjpNLX3ZFX7ywI2cE7u5DYe4uBDFaYeApxHMsjZGPLoOpCF66x9tAxlYYXtufxibGuzV9/S
xUqbscQCPnE3g4qLGVmswy6e1FL1lDQ6aaXlQ3lKDmlNJWJyp1oz+pio5rfBbUB++Ed3hiOr0bgH
ryPm1IZFbOUP2Vifh1yfFfRZtiBPfMkbuq+gJlpp9kmBoigHtrY2HXBeKVtIwG/4ONdNB3ixccpV
U/K3slA+qLF6nIJDRvJoDa6xbJJn0cUvYcPh2ysqsBRnB8Vp/tTAe2zseo9Xm4VpwtszMyGZ4B6G
mRJJKCTbaMCRACZp7y3nLooD/s8c4D2gyahOtYU5syeRzUYbKrcnKrBdNADhmzmVBsDKaSZXdiAs
GdAvfCEfNINvPjMupR8fkpl6aWTtq4kMNXDgYZYIvVQnQ+yWf9AMLjyRB4xkYWiOrnHGJPi+lpIt
8MzZVJCvl5E4wuLDEIsIs1NqiSjG0jB4ZhtQMKyD9Xk3IzNSdMm/b2aqJ/wqJBcTXk00snfZzP7U
ZwpoSN25cAGDKjMhNMeb7oAMlaBDibuP1oF0L6MWbwqAxOBsdXdTj7mnDUcX/Gg4c0iJZsiWOJo3
cdyXIHIpZIzpxQBeasvghZnO0ZyppoqvhrxZ1TPGfBA9uowtLuK+PvD43Aez84O16QetdNAGFgu3
oe3fGkG61YFm9W0Cadcor/kXLwn9n406j3mP8hD2RaEirs+beo8hQ2bITSQhwOsi7ZXxOvLu5KoV
KZ7pYwQMJkdGniuSfSFZvg+JwtOm1JtJkChWF5CfHaYreaLIdWQWnkmEtef3xUdiYadV7vYVa/dA
W6V6/N6o8ztp2sO6McAWxfUDEfWkLlN4KX5EzqAldqFjPgNQvBkiYS1Ch31NGBGTQN3VgAQ2K3bL
vbZQ0CNwneC+QNRPsD9XGu/f/N5Rm3diJE0jPFY16dlpaXpD65z7NmLS5xxBxQlCk+Nnje1JI8yj
No1UN0X5wt0CKi1Nl0nuvm+iyNy3nfo2+STETzHLjLF3iYHvbhBEs8MIp81AK7GgrpGMH/JPtcy2
BvP9paVimKka+2hW6a1OgGneol22skJuOXePApKJA7aYAJOm2XY9T3Ss8wOtGoeCmTaLBkBD3cBH
A1i2KXWqXaElT0nFxi28JBAfYrKR5WDsrJpJmnCJ+G5Y7uVle8ks2KkjcdyBhgJ8jM5FoJ4tMa7T
vD+b+sVGIaNMlVfXCildavGQyGDXhtFj67TvS1GwiSC11a03g+3MkazYFLLzWOlPUQnZsVE4GbNg
N43OtIu7lFiL+H04b9QdasFVCH72wKnwZJKa95BNPQ6aKj4MYYLYvI+L5ZhNJ9mPKHBt7WPZq1hQ
k6uU+XNSuqjKG7gOo3hMreIYGeFDJpEe/V/p6Ddvxfk5e2t+7uD/n27o6W//vKHfpG95/gdTAL7o
Wz+va++Y95ozqpGsoy+d+fd+Xn9HMKrJf8k+YJvO4Oq3NToFLZlG36SN/NW3fp41ujvnJvE/mEVn
j8S3qcbN14EeA5E/3UKwq/61n2eFjkSS7+m6RPDPlosfB4z52Dj60LniomesCjm2p3JTG0WQXw0l
D3UygjG5PSEVqq8GN6W9z/ooX07kB9mxONY5np8yS14S9D0jxUKvkzQ8miaCjtJIh2xZG9MuH4Bt
dL240qZ+BhcWLZ3a5TrUNwosr6CJ6FWqjQrjy4X1NZTKVonSF6sGLseS9hjE8prMeDC7rT36va2j
6luVdhcKnlyCmFOQoRB/qomzTgUU6YSpgKxJ1wAdtqPWA/RStJcYQhmBLdaudp2PJeyyqZavnIcn
lyk8BAD+bY8CEXk7I8/Q2jFUcr1khqHFAixaMgPSJjRJuLvzpd5r2wqGWj/D1GQLVi0xlHpVzqg1
5pD8a3PC8JtiemBicHJnOBvTR50JOsA2nZFAaIJDJD1pXc9QN60OHHax2rML7w1paO9VJoQWWLaP
GUy4Lo6p+ovLMMPilMy31tkMkAOYuZMzUk5E8Mk0jPKeKk2g3zN6DkCNQdZ4li1xZOKEH6+Zlewa
3BmLUI8/jRm7f3WG2dWFj6YRc7kRjM9sciQETe1zqxMRBAkPetUxntF4/gzJ69F1M2UBnFfMCD22
skwHoOrBJHrLlFx+5P1EIvE0ZfbJjJolKnOobPFetf07OWP6apnEjYefvAoRlucd1xhAj2BRprgr
0YK3iUBjHsAaSBvX5MTvw03kuqQLZEElTvgLw72TFP1G5+zb8bqU6spEcrEJfVfc+QDqiPMdNXhM
VcE4oLdGc4Nqzky9tCPdRhuLELlsXutHh8k6llAibpQpUT/+cxzSYFvEtPzVcXjXPrPvT5+75vdn
4vyV389ElTPMZvVp6bbBhpfj8vuZCC2bv8JIjMP4VwcYaTMU96jE8f1+Oam+nYnOOzy46MfJr2E0
pNt/a/drfJlh/rYMmdXebGb5FVyXeSkrO371H89ExVWMpMbve+kId5pOsV5a8RnjWayv2jZLb5yo
6gnGSq2zRfXbzSbO2c1ZY+vsNfTNmZYdKwyf6Vjs0ya/JVrGa2dHqBH7JxeLKKU3MWuYRgOD5pPm
7Biq8mGK87cvj3LR67QJIOoZQ01rLTPxTrFq62BPeLoJzSlt41OLZXWwXYg/Rp9rL+z9sEVI5NkQ
z1yNSQHN415P7JZQJ01hJAVU04Y1T0dLMrKiGmgvAO04kZNtKkfs7RTv5r3ht5wxfibJbRBfbBD1
7IiIZ29E98Um0X+1TGCecL7YKEhEx1LhAKHwROPW8TbJnX5aVXWgViscRshoUYu8dHZGalaaPzhE
HSzbUG7cXhCPGdkkOBS+58gK/KibyrXRFSeUjdVSb4jeI5hsVU0MtkLBhtBnbqT6H5R62iGvv+2d
bJkj14YI5vVKexykxX7EHhduac+GrFvCXp5L1CJs0RQ4rN2JPJscKXO5damAyfXTbvtO2dmavsr9
6uwG5WcduWmmyK0WtXtpZ9vAr46BAK2jD+euqF/UsbkVIZ1AbL9PRM8g0Nn6WnCxQ0AWVVrepSXy
nTzy0lLdSKu5rVvXMwY0Q7b5kDk2sWXcfW4Dcom8GTczdPZen3NUuGaKUU52K1m4G7Oc0LU3Jz9q
bkTSPlK2ek7neqWireDPnKciu6ChZg86nfPG3DaD/jDJ4kSrtQBAfOa9XJaxXIswPMd+cWaaepjg
jXZtu48tql9bfdKteI1E7FQa7UtQgPOa3/rAEfdmjf410zauPRwxPbSzvO3cMe8Zq/hc2/q1GuWy
nZT3VmjsUsQ/sMQKr0yyXUNeHXHVC+FXb8LkAsjTBycO3+M2uG1DZe2X1hELyJr58FmN+5Q2G3+h
Obz0/BK0mZoH4RdH17SnD1zWCL8DR1sr0XCQQ7gDLY/hbqzfake/RWB7W48JOtWgt66OVTOTk+HZ
9s3TaOkYBlOwI6A5GTxGemFgb2C8s7CG6kL6z1FqfKQ6Ye7SvlEom2XplY34NAaEeQ8MOTPjyITo
OlSt7Q2IqrjJHM+oqicU5Xz8DNsrS39DPTGuFcN/woVxkmTQrd2su0+kvzIUw8GU2aLCRhi80JKc
aiUzZ3cDSEUmAEzMQ+3km+atWRPwxkQMM/PAO97H4iYulU3DrLWkuN+WYaIslcaJ19Wgndq42yQ+
iiowhaokQJBPB++WjgJXdM1N5UMLyM3mgDmejOCxOaRZdIE2czQqZaMZcwBCdS51BOGyyl5LM+PN
mBSPADjpxf7Ii9XaVyt1dwVico9oGWORz95/fxqIU0RYWKi6WOqhBXM7Ko+g3XC1tMqsf/vYOsQN
EkqILi+bzp1mnJgVfLINAgEVV9/6JaSvgYUJgoT+lnHch1bYe8UCm6J06Tod8xKTnjyR8opozeQE
yBTAMKLMO0+vfIq6qKzWcTcei0qTC9uILklSve/tjqlzONwHNsGSRDdR7rXL3k0uhG5q2AoJNzHq
mFDOLF+KKBRQGBV5nED6HEJCwL7ut/+7l5v//7VCGov6P2+Fdln5VkfP6e9v/vnrvt38mjnTVXFy
/6vjoRv5dvNrNqovlGA0Il9s3HzVt24IJCs0VpVEU74QWRj1wrebX39Hnh3LSFBrNEt/c7vJtvSX
bmhWE1u6TqlDZYJcYO6WftAyOWFV54NSjafBYOO21hKVpLXSIcrtswoq1FLZ3KltwbPMdmTags9M
iDb1hxhToW0mt77OzMLFSbCttd4ZAZ3rr4HKgKUQ/jO5cXc8StkNkSEh1hhbX1MDBUgf1eZU2Pbn
sCR4IoH7t9ByYOiMoo2V02DJJYQBaVWmWceJucFOydOWyGVm9uNygF60jOOgPhPOwfqIURx7pOTA
XZ97TSnHNUl1s8SKPIuUTLYlEXBsxtjins1+3CdWdHSL1j/wICfrRBFMOGj2OMV1xJQEjo3rQTih
Z7SYgitjSJZa4pReNaTRunJBMqmm8pja2qW0h3zvhN09waKq52fMq5iLlctAjMq5ju1XmQMOqwpH
2xRW/HmK4yeGXzhDzF7LdtJ3/GNpxuN7Zr4+S5qQ1HGDCj+M39pg0h/1OmQfxoZ23dtp5TlNyglG
NV/x6+bigEVGW9lSVfbEm6hHC4zpJiIebhHUnX2sHefqYg6+y7R0J8PxXilxoRcmOmjVLa6OzfCe
SDuc8Sr6o7AYit2UMIc0VUnPOCbKUQs7HFBjHVrgnQIWj6qBFtwftXYDan2kqZhqFFaXkPeu19lF
n0ZQX6w5A81ncRbznQiqFUp7KV2B1Eqnk7F2SK71ewUaY7TT+2Ta130uLhFWmoqUWpcBoeBF8C+C
WSGzukR87jWRHHXWpsCppjvEq9rg/dO5fOlcZjHgX5xe+fgHuoz5a76fXNY7e24xkIWSNK3OyILv
J5f7jlxNlXBqFY7hHGH0/eRyOO4Y+zg2XglDMGD57eSy3sGGdMgrAg/9tdP5ZW7z13Ocn9O9COgk
HcOYfwfyAzBeGL/ogwygToBYnRZGhE12cpFG3lBkpjtdidSbGIVHIvQne2WGvRrirOkJk7G0Vtdw
2uhjDvZpjLgQKzeqxgsORziKC7eTVo3Hb4AER7huGhob4itRgCxMM40a9m1+3Oue4osipwSyO/PG
6TpR556jlr15GCxLNpDtIJ41zw5a9GnCQUXqAiPyoe5JTdZYd2/iphSnsFJDGMK1jUZQmu+rgnBr
yHuLqisS4JNJnHlaJftDNLLDRkwBeipNulvNTuSLiiy8xEgaBi+9WQ/rtFGzY2QnxYrESf8cK5a5
xncQsvTXKAZcaYxXzdH9HWsbeaJfkWcND5VXIxwoJJIQFgJ6/QxbHil5y75gGbJ12lHztPc6ZdOS
V9B6dadUbPowlccAcYRPmbdJiWO6dSc1XQ2zsiLt1MFk78d0xmpb1vW2Sl4+ftt1Qtzp2iw1xtwk
KVPMGIhBeJtQGPoqLietJO1TiFB/MqaSbN+J3nCR6J3+kpiNdeiqJtiNjFI+GlZjYFXQ2f4BOPIm
6s9L1yWvvKT5rhK2dqc1Ed6UGDHyyUTeuAAaHJ6hYQZeMFrR2YqaZiNEWq/iSbjnCRQgJOo8RqtB
AnDIUOiVtUJ6xHjWfOgyAsgbEedYmiMduLeWInUImwQxgI9fcKjsq5awuODsa26MyCg9Jv3FgWVh
f2iaZM/ObSL9UXHXlTUOn6VJI+WWWbAfioiMHyt2FHo/WyWOtcGAUowoD2D0gTIeXQKzAtQIJERP
i8GqYc5NuvD3aa3YH7DMPdBj6EddccsLv76/VhIyO5tCZylZ1+plnEISLF0Z74KIPVOBT/YE6ny8
DWtXkkghq9UYdcMq6Cd/3WC7Dv45Wb9m+2toUv/8ZD281X8wIZ+/5vvJinIfDhlRkmhvvx6f305W
PGhkAsMKQLo2T4o4j7/VhByfgvEMM/AvOXQ/RsqZnKwI5VTCtmyNhMi/p3jjN/tBGTsL3mzSvVGO
6jY5kJbzi2bb0cqA3PUJVmiD9SvBpYsvGLa551Sm2Di9+0wAmlxXpUWu6jjFprLPGrdDYeFEevwY
6SgxLqFfdNWOkWhJLnkXk4qFa7hzbkqzruUNKI9zaSTRPatTjJehMTlYP6eGoiWMn4zU4hDPx2BT
gt7UVoGQBZjvfD7idXMK1+2XT2s1A2R3pq9kmIC11kmbxyzEX1sSyDbpbGGNzm6iZq3nQ6Tts0xO
xV0wUdxsosqfJ1ukwW6EETBAd1j3Dj2db13IeKMkY7WSla9t+sTWVnKopo2a2PWHqQ87DaT1aE8r
o+lAko66mIZV2rEHpmr2Fca7ZqkgWykn+9SNTciUQC/su8i253wup2QvzAZio9HjtncAdLC647ZL
L4NuhzpjKf48Bk3xcZKmIDQfG3Bcg5ctnB0aNUNd/VP8fC1+qDv+4hGN8qD5g76NL/r+jIp3JmZL
nkXNRng1lzg/PKOA/dggUR0xlKWj+vaI2oxy+Y9DnQNj8MfscGMufqh+HJ0+cLb//K0l1hd880/z
WqymfD9cQSZZ5GR0/Ny1ab4xcyQc60x0jlG/R5uZ0urnY6Z5Yah0pHCwe4lOjZsYH8vCHtg1yfSq
KsZSIPzKEKwMbbRsHdVnF+3aDUE5RU22oNOTcNBZDQ9U0/h7acC2WBRpMSXXAvVpiQoVN/zTIPV2
SQF4Hu288sxZsgrDglFaFb4AZrUX+ixspbsNSWOCQIDmVeRxwsgkGT2JHjbU/I/c1yhkCzVG/JN+
Uc4mZNoss1lO2xMfibQ25Lvay6Ijpe9kKqO9HclciMzIJ6wglSQqkSzu5335Ao36KegJCmztzF9q
Zb4ma1EuiyzeVrGyjSIUj0Odv6iMRahZfANsc/Y+CpRX/VTm46kwSWwwHF6eFPyIn/r3WuVeM5DA
Yuw38XTVWvu97JsHPLQrE5mW+Op6+GeGYv5lF3IHPeX5fyzrbvr90zh/5benkZ0ygTSaxRKFBTF3
3Q9Po/6OhBpS9H/LZ/32ODoY7tgHkGhHtu7MuP2tF7HZUauWzvWLHpSt8t/an+AG+PXK/LJQxq/K
NIXl8q8EHeErZMK7FGJcNcUaQgbRwXqqe+mQP0S14SIWrlEyg8JcpolD72y1u8rSCDlV0ZlwNe1l
ihQ2C1Evtmq3DYiwsng90AohgSpywM1dkK5iJ36RPrtBra9QJeYMh9O2z1cOmQ4EWI3ihtnfe6t2
yY+g5F9gQj0CBXwfBC0CtujBj437DL3/xdF8hbQWyvAucoKVOmjRPkvDB98EXpMIcXUTqk0i/940
pe7Wga7I+7wSW9t2DnE5jGt1yFdKM9wylgT1Uaa7VKnOPXSUwKw2ltqQOm6BP3HquxA1yqIei1Nj
oZwOWmOTqCJc+kHzOkYEkhRB0K+caayXRkQIRlTdmYhMwsEkBdOsF01dR7s+dZ40jWA0OUjgfBUy
qAnC1YAmthuybVhEmjdArPbSGlyoNd36iFa25Bfx0nRRf0ijKaGdC86ijPbCTSovTtPV1Cqf4jgV
i6iqnAXy542cZETgGItopYcJTrQYasTJWHepe0OWHtR2xqspEiVKdOM2xjZfNJ90t/jMbnXFKTXw
rWaVkdY8hx1x/Y3PfsF0Wi+m5VwYJbEOzMc4UOE545yOlvbYbEk8vMUdV9xUmXaqhnhYqcDpV5FF
rAwpUfpm0vV7E+o9mYXIxxXrPSeW2Fc9iycH5L1d+We1wesI12btR+mhKdob6Rdem6qbVObrYiCT
CC3ZA/sJc5MPTLP9Br+hSKv1FDmnsRo/6kW2NvP+CZVnucuM/pYlARb+Sb7xkweau/StR0l6yQsE
XpU23sSDS1xqEp5Ep/jH3qhf0GkDeK01fRcFJMSFSuasKqcTAJpyUj3UaW0laBRrVGrnoFecfRkU
zXWgYZkHTUEreIEYFFm2+8ktXbnvLWPh+s66LodtS6T/aBnSM/z6URDoT/Oeb02uwBWcpAVW8G0t
gTd2Fi+xS4ClkoXTe6MsaNx1Vjdk4dy5lX1otfEtDavE0xLrNvXD4GAj4Z2y/jyPMTX6vFVisznM
m/BTPJVi1xbOJ8xUhMW5E+ZuOnj8Gs21rQpe4vrkMy71CGEq94VTc3Wxc6sSc0XYqskn3O1oEMlS
LAbCD+ECj2DO/c9pieC+HjtWLq16oaIEYtPhO/MnhhF6rq4m1a62QUdUJuot1Il7GeuNhyryMUaX
i2q1bY+hqagnA2vnm6r6yX2BHH5LhCdRdWhjIeD8UyZ+LRM5yP+8TDw+J2+/v5dmZuX3e4nLB4Mr
UxQXVZFq/HgvGe+oGin3wK7MgWw/TPfFfJnpLPUd/lL9UkF+m+677zhCLdouAsUNRJt/KzLkD5Jd
5wqVWhGPOAZc8WvMPnNteoYqty5JnwYH8owr/24YkhwysB4lGznTssaZm1UB0CIjJ92ZNWYJa6Zr
JX5W7DKWWycpZ/hWnJLjOXSkMZoOuzADKa5rEXooYyKWkyDfKyK2Ts6cVDGk6trOCLYKsJyIyX2z
YlbF/YjviYTlCYUOT14+yEOcp2vF7eeFZdzdtn3DWHiwn9JBgL+KQ7GSSF9TtdhORrmResB9w2pM
tcfJa3SAD3lWb9tJO4tGvGGDukaGeyEvdsfFf4eTZqMUzUclcMtD7heHKoQLE5rRThPyY9oGS1cJ
7zLdeh9ELlmXLtWqmRgl86PgkfnNznDLVaz6jyj2n2e7N6pNAhqTtpegYODIRKYzB0z0y7pGNesU
4lAZYb9Iah1FU3quUKkiCw5OVWY+s9i9tKR/gW3hXuM2ngpJ6odf7jMncZZZ0W4tge0XtiaRMgic
JnIpE2SuYOw0z3DG/eQrH906vI7ShLLTxrsuYMNaQRqjRqVId2c3heZjS5PFlpndY0L/zGSqWFpG
Pa2DMQXPUoavBE/CiC6pLXJt3JCUtwcca2wyVz/nJceQbFPo1nX9ofRDc2XUnzt7VLd2YosVg32W
JZbtUVZ9VoYGFakQlyrtqsUUoZHjhrh3axcrl0i3pNtd06DZir7uWXmQrdKWztIKSJIf1GB8GnNW
3oH5yWGet4rZAbP9nx5Nwiqwkz0N6nStXOWegf+jLHEY1G34GXIQbh6ZkDrVkBPujNukGci4MTWw
vZ18G1xWxIpmsTsog3Wsd6+EpTNptIy10yevI0OPAhn6nHUW2c1LD/7pyMSWXUY2a6VaaBWpJ2cF
Ff9+rFXjLKsiXxOJVY9WkNvNdTBZZZwGnqo7uSCxkC9O5ld8Qta1iHxwEVg010JBZ8/1qJA2XIbh
duzVy8TDcB3d2NkkiktQFWNNUn31vWHExhIl+sKo+JopKpVLHAQGfD21WBGUizzNqoxkkWgj0i8j
GnYZq5SFVRXR3nWHiYmMJVc4AtrFGGKaUvt+LbENuGpwwelB7K6unQxCdhdA0K6oHwOvSeNzZZfR
QtceGHyPd7WmJI9kv6NJrwixMtiyaH4NKq/lA1nbRoL4Giq7SbYeUSIk0TLGXqAp4nOjC8VzcuA3
muz6Mw4lyDSg28nFPyU69hhBHCqsQ9weKfmJetS81N28lyelnKphl9udwXra3SskLO21IHW9Yq6T
0MbXwOEqKIEYGldd0NsLnPFY+0MH4wQh72ulTPHctZP6Wmn6xzjL/DV6HLmStXQ3+QTfJ0lSa1Nk
ZIU1SqwyzamKhabP769vZ+Tf+IdKhNRI8hzxRC0lVCwy76+h5F+tKvBlg+KgjcYmyvwWsz6C6niq
GQILdznMahrD7XiHYApgdljj9RzXWZ5dQytCoxTjosJ5dnCDDqs3ypjISh7R2286pbmbkr6HrVKT
uA9OJ9eSU9PVyEg78HR4VTZ+WW7trvkcGH7oWVweyGBSHtgEGsDJHbL7rInTowj7m5xXlMUeSWxZ
QaEdEK/I0P6BxnwtzfLwf9g7j+24kazrvsr/AugV8MDwTwDpk95qgkVKJLy3gaf/Nsp0SyrTq+Y9
KSMqLYGIuPeesw9k/4+50lT4ysWxzybaveq8Q6h2/78Twi8nBJN9+69PCA9tUmK4/uMhYX3Yd4cE
yCpCNQwB+sRarcr/biXp/7I01p9fxmGcK36rXNekOYs8EZjb2q9jtP9Uru6/+HNmF3RPUO1Bjfkn
amhb8L5+bPbi0kB1jYSFf/FW6HN9P/9XCGGwGgJgb0q1NhgfaANcEDkkEK02ulybs/M8opzN7fpr
MxZflmqJd1jM7g1l9drY73IkXqseon0Le7GpCXzrHZbRwbCvRK82q4Im31T1bDAwQjxmRjLearU1
QB6MCG4LM28c495DsnXdyf6bska7mu70jTZqFcQ0hAYXzS6mp9MMWXSju+lldeC0ojL9isbxFSFV
Ixpmfsa4+ptScbe3Q/s+YgJZikzuhOa8K7O6jadeZVGN9jYzw3LJ8HtkQJfMZnolHvQx7yVDo0y9
183+JYIQt3OZ2rBQ6dZ1xAwO97KLLszMWpre0RswpmoHFQ0nJCtGAtyhwqOBalG7J/BoNbglt7PG
WEeYH0Zf7BBuv3VGcqIcId8Wh+3sQKRye/62uy9E+zLoyaGaBwv3S/RSddaLiyN8qpAb6F871/3a
at11uyTPZjV/zQyn8OE/LD5K/BvyW9FZm9O+wECxSXuAFgvpc1uZJfcgM6+GWrla9CZkJAa/UGq5
zod2ikOqdlhg1DXbUxg3ijlRf9DZ30AdtSFkq6c0tqJdqgzWtoly5pUDfo5ufrQ65cgBAySJ3R+d
CiC7cIvrWhpQQjIOX21dajvZr3rHtKLVOMSArnOHMLq49VNRjIE1hnNgDhrRsDk/taW2b6PpKXTs
bZ4MN5YYrkXFhFZR3GbXAvBnOgnFLcsOGpmxm7lnm2MqBuhXtCC+TYJFNSXccaOF3lSNJ2GLq5hf
BX+zfU+V9s4azZspEocotWfP0tKdkYJhAa3trlt8tliPPZECooieKJ4/LKEpgOqQr5qDZWxGNomt
MywvWDBreJ31MbTrZ2UYOj/vpkfF7VFxFbRnFpoggT5m91LRJBwgfNqqWn0WnVJ4SVVfDOleZ4Yk
Uw9X+MappvOAgDWYnbm6tqci4l5pHXoFiUa6r7sHFYDSjHiAtz6sU58aP6Qf1GEPz9LnIQNMmTzS
kMi5AhM74F6DPT8isOzJkCHjg8T6qa33swqlX6/ESdbTxSA31S/ShP4n5kG6DjHFeYPQUiuuktUE
CBYQA56ut94cLXRYqrdsXk2Uurg39KMiPzMBu0+J2rvK7gJdzikNZztwgERDrv6kDGFoYRuf7SJe
OZSfaTtf1ZBvV9L1xuyUOLAA3EJSa+7ioXvLKQaA5xycagHJizO2VWeBZx9ar9OtybnyU+vaL5Ey
nKaqv81r5dKPaUaQcO8vUD8hxzJtF7jgSEQhxGjIVo1jzJG87z9rvABgDEmfyGf7LWnaL0gdBHB0
JSPUeKZMmRwLYxYVDehTx8tT44VVlxQeCXJmzK2vPWXfhvlA4rMgnzqlnXdRNwzbeBmPfcjJn+DA
Oyue39LERNJvZIxem46424g+UWdQZRWWj0Me/3c83/dmQ9wiLYZ8ptnQZCTelKXZctNV3BKOdcFr
mgbVHF5VOURfYwjJbVeie0qm66p2793Q2OuzdDyrBLU6yByrPq0UcFTbqHfyl3biRB6SG6hQeuLg
X29sM322ichF+DxlW5ZVw4u0+H0uK2sDqGE7TuWRBf1OGtW4b0QxU1YNHE1HOKdEGY5QO3axSGAx
4bKjNVM9hE55jEPL8LImP3fxeJsQsIF/tdiEiU4yAjaJoIxyHjuO96aVOpyMh/euSgH/1m0InV+L
geA2ClZb5ZPxC/tF3CY7pEK3SFbeLZ17u8nJZEKoqXj5HIFhCJfySjTuat1oXlSiBryeDE0sXjOI
P9hMm5gC2K9Ys826FNuULO4tyqn3wU2eq5oLCTH3VvYRBhN+5Ru2u9abSBslQklEW/K7+E7HhIpP
n/ZuZNCciwnD0EmQ5lsaH2OJt4w9kQAeh6RCxiNoCqgyckVyuTlrqFbKnzk5BMZaWSafGKgL8KeK
gFQYzJGg1FMy69GEQNWW8ptZmTdpVH/MKk/XGekLLR3Uqa3CpTeUZ5VhIkFCy4X9H6QuBhShqgfi
IFq6XhrGbEiTL02e5oduaR4p8Rs/L/VnRRrX0GG+TU2+dcP0kc1enKhzMNMTiNol0TUq/gfiLPa6
0mFYjcd5VTEPG2mQk0WzzWYwualGY+KtkPKp2fZXTLWKX7SosZCnLFtZOXdqWDQBRZOBmZUmcF2T
kTTmQ3gQrXyzFC6GPh61bZY5D0SHoD0JlWMSRW8ciP0oAwY5p/Wuaioeb9c3RLqoG0Jlo4C67Wud
zsZ26JNXHC72Jm2sGzFYT5VhcSDO5/0S6Z+pmGzWWHVAUdbGgTOX8dYiAAOZTZdtwANw+aVqD3RN
gsxe1FerG68I3GRChfQXJgGrdgwFxE9t+oKWkr4xqrpkCS3FHnOy14z1KRlzvuq+3cnFGLxBN1Nv
ENk+jTChJw4kELECIhsN43CVtnlguc43EnPmTeOQLzrScmHyNI5+BRGhAoDPqmo9F6DQQHOGBPk1
ygN16WPrUo6WCWXClEPuhBESDU6PO6yiwW3E971lNwGKXir9gbmYcB+NcriJcoR1eteja8Z5jZCb
+0knvnqOqBC0rDwonJy4IVPhTVr3XhOZNmvs53xbbCHMwyxC0xG9fEy0jJXa+rSE8qDQ3vTtYu0x
u9mnvXaHGV98HWV7ctnJ6RGZX7vR3iGAbMFdquTQ66XvLqOBHDN7joqi82CTa56DMjlVim0UvhOc
deZgYGwcQ6HsGtJjbSKzr/EwXWlJdQiblp852WukmDDOpvRBbZ2SXq5yZxck1mu0nwys2/NKmLLi
haZ7XZVB02MfkyZFVZE1fBxCZdA3tdDSKuPk0Jd1HAn21W7IP5mmT7LgC2Tj9LABzm/FOOAWXRsE
rUp3gmgCroWLbiV9UJoM2oesvrcSfkfEKOscL2fW6ba8zEZbblvLOKpO/zUtaDTjlXhu5l86B+Jx
gSQyy/wB2m3hTx1Lqi3ex5GZgzOV2Gp7m2TXfDjXXbstxYwNTWIxcGvyQ3or/XA5G8cj+QX1XH4s
Bb54hqXoOJeDppUvScpIyE4f65HJQscpz85Y+uKGKzMm6WiHKII3Odg7aC2fKJMa1uD5VS8484GR
9pI8fcECcgjD0I+z8g027nvaD9eGQRpO0qt+VMxbfMnslHoDuM4mvI2QAbNA4NVU93Pn7mvDPbiY
XRqR3vSL7jG2IadGB2ka5kHSjucW+eiQ1AAgxKgduxTDcBPZWnabl4v1IqvEcq4axRz5A7OvRzz1
Fp36Wjn+rwb9tUsNt+yva9DzW9d9/JniiEf9XoKSNkL8GJIF7RcQ9Q8lKLXm+se/00f/oziiCuV8
s7K5GJGa4hcg9u99avdfNiRPnpFmNZoH7R9Vobjcfq5CTTBshmnSFadIxur7YxU6Du6soFOYruWk
d3YQjyEkYhgdEsleEuP3D0/9kkV6INNxzJ7UQcVsilAq6Q/1kqzxONaSnTvpTkuQkvS3EINRlxXM
5FK3zK8zanIucM4fS8ApgDYbusv9bKmR++mKQu3vZddxc/aJbYR+SNKQi5mpWnG6KD4R9TRWpLEA
tdnERHABn8m+PHBMDQqN+zQwbBWv7UpIQP2XqTt2Cw5O7RgZ5mOuEu+xxZt2QBhF06u0DIIzlVHu
Z10O6eekO/M2StFQBlFEqGZAxIrYQwuOjkro5O8JNl3fJV+amKNajoGSoxgdGTXByEFULwpscMgl
zPfRZBK2LIW+66F7x9R4kbEzZfxpTQqJ66XzSbfd2PRFVAR2zc/ITcZcO8LTJF57OsURAA5nbexF
SUEgV49xFqkhogmbbVzDqQoLC9U27FZoHsOq41dlIvbkSdELD/Heq84qjlyq6Fi3Sn5jSLLO8ll1
d05dfmT2Yu70XCebKR6NHXVWEgj8dIwOyFYyzCG/yQT7HMc8nBccQIummQJHIfojcvSPGGLAHlUI
l8VIAQvBE8JZFdkbYSnvNf6gvbXkA4BRrGRx237aUxhCPKBNbxcMH/ypJcwg70k1q6qiOxJ8k/qa
EqcX3jPI7Mqqjtk0goBMqXbIH+eEN8lb1w3N3eRWRdCtSSdQ2KDKtIazmQbw2OXS8jYd/SUvM43W
WxqRhUWFwalvTfzMSU+oR1DplZ7ugLw1txE5M5s5mvpbm3Vzs0i1ARoiJTblSsu3i3DnoCOfaoVQ
1MGs2gPsEGan4VxmezWH6oBw7TdI7P+kJyqK8L9ZNqvu//3/MvrIP/5MCcZD/712otZkuMcoTEMB
9LMO3kUdj+ZDZ2llpvfvDp5u/ItumkazD0EVjfAVXfj72qn9IuRkWcXaa6OE/0faE5qEP/TvoEUL
sY4ebZsyxRbrz7/z76SOTcu7BFo5FMFi2mTi7Izm+bsv5jeGwg/h5w4f5A+vgkOImGpCfmnE/6S1
b5AVoMnEE9xXaZL7lSOA4rrwArxQ17Ig1bsW6bKmnu3IKQHvxKmXL+FpZAR2J+r4Nk/IajHj5DwJ
wfxOVUxPdegL5moiPBHFh4lU4mGML8nIeWNQz2KZbjupXZqlOs2tfo0G9SjSTG6KkYIwpRjc2uvy
Qi66ZHjoflOpqTdWxrEl7TMKm3z4BHSPfqS0oBuQn+7im+Txs03IiQRxaB0nZSl24TTbWJU7SBCu
RnEyLOwaWV/ie9KMp1B37Z2dm/oXrYCwqIBc3SUii60gHpo6DyrZZM9VpcL8ckAB7iMXotdB1cG0
MN1wrtB3SNrtQMlW53Icb3q91p2nRWssP2+0fNcqi2Xu1Goigo5gLDZdUjPNopfhRhDAde00mnLh
+Wu/S9Ywg3k4VQQpO3T8fWtgLoZiHoKd7SR7PTey44Ag3bnh9Tr9iykjG1ukrMaKbVSnY9Oa802s
Il9pIume3NayjyPjiVdcasbzaMfofHOJzaYvB4OeDCM8T9PMacE7PDJZxH3pPlYVwg8LlWsA0dDw
tXqOvXwAddhEkTyMmkm5NQz0o/jOz1Tu3VvHsHeWIFwkPc+N2yQHRSvUAGU0ikGyp+6WkbmLkGQx
V6p7h0hf3TBMgRMkabxVdYF5IjP8sVJRICfPTmHS4kCzgfIlWYK2R2rYIWVm6jwnR4tIqsBmbLXr
+1z1SpomV7QptJGQwG5n6eN+Mkrbj2etu40YNLHDFJekzEnx68ptQWqoUZkHJx5SP7TyfZWQ5RTp
4qZzp/tetcfHaJydz4rCvEsz35pm67NKBt8sgDOHjfogFORSVk8YVJUFLpVQ5jA1Ihhz01n1t67r
P8qk/ZB4ahEm+jjZj+5cbFlAMMUtO2MWF+mMvu72e9XUzgtFW9SO78IcGCMr23xS2X9A6w3yKywJ
9q2voRhUf7JynV2cyJrMHF9NK3nPF8sIKIm7IxPEaKNMy1krtIMeaRerHvxpyF5rfn1drzNXcuwg
HC1kXs5+EMvrHHZBVJAV1oiGNI2INmZXigOolNRXJQMp277hM96ZBPr4c7JEzItDoGOjSC6xgb80
DrXbPi+7y9T0p0ibuZghCOYNvb0sZG90CnlyuYkEYZua2/ozmEOn1s/GXD0rC8nepn0/aNFt2dRn
XDTeqLnnYhhvY5dptVYHhG0mnJZm4iBJ70hjUlqHtvolkvEqU7IvVaZ+wZx9TLrsVOXOMR3U22VS
/RxCW5XnF8K/vSZv5Gmxbc5iHBIceINNZu+RK/luy2Q0nulSLhP97UUemqUsjxAzvxUSjZNCHrgv
I7KbzFnPdo1b78JOVe4WqTTbv195/8SfqTpYAZAvAmjgp85P63ssVRLIrBz8UpNpwZi7MrBHmfkF
LMtzXyCJskfwgRUJr0W9fKh10902TSYenMVh7jLPd0ObnsUc+plrP4u53zWx9VlmaYSfu20DYtJI
tZNiWy1c0/makxqanTdxIN0YDV4n2+n3ML7e4Z4OHsnkTxqe0WBUe1KtRFZt8tKbGq+bD2pNGksf
ljs1bXca+Vo5gcFdYX+TeXE/2OlxgH+3dPmxGYCR1NXZ6TR3108SpJNM9tocm14HnN5CTLmNjXQX
oZPxO9HdGXKgbxBbRxG73Nco9s9hT48nbefHNBmNjWshQdCkdm0kS0lLxMIlmmSXsWY61KWHbDJ3
5oRULsmbQ1hmLk07OIN0ZLaYYgIzqs95BGrQLrXrJJ9gJxR79jUi0mrQnZXstrR5rrM0v4N5xBi8
HHPfKpUEWRmHvba9ofM5+gVlO+e/9NGQBibNOXlz4YkmIxfTzAXqIMLAvL2iFndqzXTNUIm7kX6h
EwrmGvuJdUjvqm+Va59FAxwtcpVvoWotm1pb+4JYqrK8UA9Kva5l/TmxrRdN5FshyE0BBvcqC031
0k5mON6ia30xVR+c0UrSpQkLrXF4quhvntBCt5eck+zh7y/VdVD4vSSdg4iF9hVaM/BORLc/HRFS
4EI43Aqoh8OaUnJsteFXFdpfops4Mn33CjylblMmosMxsT0z//xJ9K5b2JEdN4qucpJZFOs6GZJ9
Ut+1E8b8NvcSq9m6afD3n+rXhIL/fK4/vupPA9Khzvra0BXlImR5j5MawRT/wa74QnUngXTgHGPi
+WyF+mEcIDyPM9ygvJxWZGRSeWW7vFSKfU56g1yIIt7m7qS+O7Fh+4VIHy2nmOiLkniTG69WmM1H
NdetgauprIJhscvAqZXGV+vR8WjQysMw2/p7Vab9ltmJHiRJ8hXUexs0glwxVmDp944lPErq+8HI
F8Qm2SPqCe1QRPpNzIQVYcKeTekBZe3W6qZuAxVjr4tYQezECQXFaEnjcxBeA3rTbyeTEiqZ77S4
xN+cENCpRxYTWnniov9sOsYuXZ0cWkPZI016mJf02RDZ0ewhwLUr6SgJiSJOewbD1mAesiU9MTz0
SxkSCUTqCBtMxiornkfBZCxJi4sTz7uynYIxXLiCRZD1UYEvr/artHA29ZI6fpuHlxr1L9ykvVpZ
i+dE8z3eHw5wtfIw9MyQdZ285cXudyQEYS8fqjcrai6tKG4bLEmY6Yi6UhGZAs1Dabq3Ebj4tao+
ljLezyHM1rEdrmqLPRLK9IG67sNpxOCFsD4a09hFtXG2p9z7L5fbf7vG14P4d8f5yeCIAZ1CuaTn
8ob5+LY5NU/TbjmYe+uMxjv2vmrTBqHMpfwynf7+xWna/NkNhm+DkZYGpGh9c9+9OJ4kp8zo1l5q
39yUZ82rtwNa85PybG9FIB6vFe/8PAaECoxv/CO/kmexOSbb8Aq0TvFf3s2Phc2v950uOF4CR6CM
Mn9yoUkxobNS0/gqFjeA1TaJeG7H/d9/4h/XrD++xiqO+O4DL20xKHGcx2yuH1G7d+Xt3z//n34G
G90lqT+6RYvrx+dHWrEgBGvYvJWbhrSn1uTM+esK9b/yfTU4/nX5fnlDevNH3c36oN8Ld20V566B
eVw9a0YAP/pOd/OLc9wyXeSU2Lv+U7iTRqCJNQIJd9Vvkt7fC3f7X6v/0qCiZwcyKIb/ifQGpe0P
txv2E2xidGUNGp+8C57wx6uDTEEMJQqB63oRPzUgrgC5SQj0NcEy6lJsEazvVLC7plTYVNynomKB
FMNc+YxHHlKHNNKqPxRE3TSjQziMbUOTDxJOw4955WJz18RtpJTtoZ+SCPx1nirvGjowepCqPsYn
OxyL2TNLAQkZU8O+6zlVF0M63Ao0frBPrfspW9dWgO7kO9O5KnW/jhlrNHP1IKXyVJnlI1PSYSM0
RHCinQ6WIomCdY6qrfsQwr+25AyYWTltolTc1al2g6jmSRu70o97FLVhv57ScMUMYfkpW3zgMdnQ
oYFGUWvZ3UxtvsZS8Ma0k2jfUR98CBjfmqlYsMlQcrizE0SihzBcxeo2g0qAKVsx5GFicOmhhjyp
g32tE5k8qKShDbaHs9VGzRlT02jjqR3r51i4r4phw7zN9dus6oLeLJ6yBM91my6PfTttx0Gtr9Rw
nbhVnxqT5rFN7tyhHqnxizMTtoNayKesG05KNX6K1pS+UKTtabo+IOhEI6QoWQ/ELNs3nVJ7emx5
UGeR/GvsKCbL7rVGb5dOYMPxoSeEmZxor1/ZjBWaHdjkUgmcLFu8ciaoFdfu11gSOacj4O1DeI1E
Nnilox3IF9sPQwsGCLSHzlkA0U7b1PScraHY9SRuIZTIi4Pet17XmZd+hpGiV5rmxeW4NUT4njHd
zPKZWIBh9tNyfossQnh4Tq/KXYonQnQnZlU4dpU30Uap1474ltSMYgAJNpgX50KbbAwcQTgAIVkW
8dr6vk7L1QhEKa71BZJKLaIbYBOXvbTDnjn0Ag46N4J8tH2nAMPF2ZoBPtf/1UDjyFaMg9J0TzTU
9mLQnqYRdUUUd8LvO01l79HSM81+mOS4/4PYJEwwHEk2IJLP8MgfDHdSVcVVPevaLWAse59k487F
MIEe/VhkXQglU3tjGzIR78rkmjBPghsgKEinYBoNJoo+d+6ZU/kuu2qrjclLFUHgdPssiEjB9tJc
5gzU4FiT8PTdovYnrbefdhBTMA8hWIq9A+8o9u91cPLdDlXrM8BNxVWv8+IxM76hyfivB/c/eQkc
crhZUSeqUMx/2qRkHc1dmljGdda9D9mNrB9K99eQqf/tUav592/2qKrsP2jm/HGbWh/3721K/Iu9
wSXLhsEOnmEOKf/eplTEng4gKMuyfhvA/e5ttEjGcbkmgOhSFv2nufyLz9jlzGFAhfzFnfwPICv4
UX7eo1ydSw+2gL76XNhOf7z+ihqeiKTyuyr0ZdxixzdQNdivNjbYyh6eNWyx8P1JgN9pjRpomGaH
PnoMVxetXP20aKL8BoOtdSYK/Ks+ZY/F6r5VVx+uxJCLlwnZOuRosrr3IkLzV8PMN/GSefHq52W1
/aKsDl919frqq+s3Xf2/C0bgKUGkH0btsVzxzunKeYb3jDfudVF6pn2AoKekeZOQocmueWst9WVe
kdFWP68qMiDSK066his9DOysULXHZymcL8kKny7xUgTqhNlBQKbOIFSLFVVtwKwOV3i15ZAyDs16
hGrtoiOQln0P3TFjjNes8GsznR6Jtnl1EmU/QcfuWjDZNmGmLnKkAoS2mtJzyeXVDFrbGBavWVnb
YRJ/q4BvRz0Ubhh9V25CLAWCwINBNjbq91hWtGTv10rG3tZ99tqsUG/e4o5UX7LNcYzlK/i7/wUB
vsLAQ4NcABM8+Gi5JfIwfZeGytlaEeJVj+AjTFb+YnpXQxm3Vty4sYLHof/tmyr/1q5I8l7r6k3c
il274spNuOXSceERC9COK9I8LvWPfoWc59DOQ6jnHRRP1KGgI1cgeiesc4y+pIKUPluhC2XHPtOO
uc5r96qAqW6lzNsqmZ6niNxgCmPET8WmX0Hs+YpkL1c4e7SAabdWYHu+ottzG8YYngeUlSvYXa6I
975YbhBbvCEtOETrFkIcrheyFaMVkreTbRFko9JganS8IGnjkeV+V6oFEkZ+c0qtP5qM3poCMgyz
b+fcKOohd6oLqqQvnJSe4g45TeOwHUwy9BcLTD6yttSTLTkBBO0eRkme0shEYEjamjRfHABJXNyG
naHj3Zz3DJqrbRsRb7JIa9rA89WBPHup7Xzy+zhVdX1ttPE2s8TOVHMiZuJiQ92PZjfX79Ol/MK4
BAvjdKkWekBLXx7Drj8LdDJaQTM4F/XBGZ33FFSOG0c7Tp7gJqn00QXe14PymFTWQZTVcaCYhb52
yHCIKKL8Unb5o5WRypEv09nQ29MKJB1Gjix1Nt/mxbibQ1IEVm3yMu1rtzqorbHFJ7NvovgYGYLJ
uNRPNa2zqRM3IjYgUS+tH0b9y4TOjHHmsk1aUGADRDS52MfW1e7MpD5lybg3MokGLS+IgRzp4In2
EpHcU9bj1y7Bc+NE2n1Xdc+E2pzAzl2G2PDjSN6VIqebzE2f5SjApuQ5yuwdIUb7wkqcA1D8HZrH
1U3RX/TSTTwYV7dGGh2g9d0WyhgSl9UQ3dMesAG9iJlS3hF57rvacAdK+zwwvd/QHiamfSlehp4O
wTCiY+59yCLkIznlRc+tL4vj7iZlCnqXKItkfC050HSm+Fw6Ag1QhQdLF74kUM21jb0gtr/TsBN4
UHlybetURDPJWUdXawAJaq38RAzC2XCzA8SEHieTe4rj+NoY81MYyWmTVtGFqOoiSNxy1bfTD2jz
K0W4u6Zyr1qaup4zzduiESr2YfUpIZFyZrKjZwrH1/QeNZvl6475XuPvqboIifJ0UiPleRbjta6q
V4Jswtiyq6CV05umcPZP6giXF7Lnpud30arkzwxRgg6s+FKTrSxdIJ590u6zKt1B/Jz8zlKfbHBG
TTdu4jj10fzeIq0kDst4sKOBftXynub2/WL20bk0m/ogovCuLsqLshYiIZlaxmJ+UWtrB69qY+iT
uU97ZhlTO2v7DKmUpkUfmaTHZperqtmWZ1Ul9EIlAWUrEgIRGnwwXBS1p80O4L9I7LuCZM8puW9K
/PBD9BC23R4lNGk8k/NUTsmOz/yAQ+65b+LxMBs3WZahVEffm4LW7Yt5ZxrV9dRHD4nABuxY416h
tdYviN07C0qfin7d5ashTRK9GGoueTsO2j1ACycQKowMBw74ZlSxfenWpcvZ74O8UzRc41OTPJko
sVj8MddrJfaLAiXpNm4sJBCLvUmckbtzOTcJeEVr9fZLWe8JddrZUeneMA5zNsVKAViUhC74SgaI
RrSd41C8j6jSDatMt+wwRGA4eAlrLfdmfGkmlsMQg7s/r+SBanTHYwq+nhAK+Vm23QGFJ9Y2SUNT
X9kFVkKpZeb581hFGj5FCAc27aKtGneYnovUoqdWRFBmeyAIjdq/pKqNANlcWmU7OJN5200Y/iAu
4x6bcoMMm5H+TlBPS+4vqnKe9PZIq/yG1LStMaeBrS1PuFXvoqYF/qVRLiCJ1nIMV6XavJDMlHp2
BIFa7ehGZfNugPiKF6t/HyG2qpnzaoT6ZZwkm0ziMzva9qG5oU//UNMwx8AYv7GyPsED2YdTfC3M
+QM4wqlY+JpcAMxcSBXIL+gpi3mykwIsca57ll1ADshwnhVHer3M4SSEYqsNr1NBklBW3fVdlqA4
WQ51ZJ3NOdmrLVO6DE+9S9uuEhmsIapRK9Vv3am47ynmx0oyBSjLBzLGSwCw2Qkk7EEI5YI62uMo
tNPm5tCHLlwigHF2c4rq/tky9FNeqkfSBjb04xkz1l/XMKk0i27nkJOCNOtgCeOAdDPPbPqPInbP
SgnHjItuZoyM2v6rpQvmknDTKpHctWtmjZZ4LlBK3L3WPp7FfZchSu5L/CrMzJGBRgF9fvSCkY/E
eNXad/je1H0xaC+jYyChV+ctCWGejv+Po0WzYbTasLpnL7k+eBHeTMTFGghfGosQLZhmpE+IbHbo
T28QD8aM3tUHOalbPa2fK9USvl4ww1DG5FvYViPyeXDRfaxfTaa4CiMdo2hvBUlaB0Zo71I3ObiJ
cAlbRnyQLR+1NK/6WuUTw9c4WxoXS1RNpjc59sRZqlaDUFrOdaVWx9IYAmaF0DB7cZsbyjnvqUuV
SN92CP+xgcbqpgWzt4+l9WpOqbx3WWnIS5jP8+wMvjJVzzPcqlqxXjUNHFudNC+C/jIKpWGbdWPu
lR2f2gmJP1mXHsTCm5GwyH3U5mvkVnapcVCRNbVcK1p7Am6IDNjqZr9pi89RnZFGyab0Df4PpocP
AuQ+SuZ6h37pMNl4jWU/MDBed23TeJlVbrQUDa7fzi5QQWlcqVlylU2ZZ6RGfLDjpTtjrF2LVv1Z
i/LoOLXhrdvlr6QLGPv1dmdajsqjZDfP2lF/deL+HovwrTrNydlF/+uo9SGqxQOBc4jiTHLkpmEX
CTxLRXZuIkGyHQSPyCw+B6fKWcu1INKdh6yvjklPDNNocc7Ekthp/QtSqDt3xqRa1vZVqkbYe1PC
oQyJTzx9anL31Zj1O6Q41cnU8VAMNCa2Wm+8LgXqVMavq7up3JUjT6w06rZCoevXpTHuQX0woihr
dkek/UK/x12iUUYQXGME6B0MLfUy3VICTU1Igf4vHf2fqmsM0NB7ERnDmIFAQ2vmxwJKS4TAvFQm
14TSbcry0hFf5v7mvvzLydiP8kn62L+8CCIN+gS6Sin544tkIRIZpeuSayFB5V4E6j/FeOinh++q
1z9pRvyhXb6+DN5Q0xBInoTzUzMihDBAFSA4uGufU/Wo6L8KeP/yY/zJ89saNB6NVgRf18/fVQdX
raqsIr8uJy60vRO+/eP3TyNe4xvii2Ku8NNIIbKRo+hmA0eeusO8MX9rc/zl+//D/OSn7+en3zXK
B4gxLKXXxIBh+crUbWv7BuPfjzz1//6j/MlLrQNXutSG+X/snUlz28iaRf9L7+EAEolp0RuSIClR
FCVq9gYh2RLmecav75Ou53q22/U6qte1siNcKkoUkfkN957rOhD7fv6NZ26IQmop05Oe7BnOdfqq
QsUo11zDWvV/7F3Vt/3TBpTx0I+/FvUR/2EGpRtxPjh2lp0q+FhAUOi7ug1n6jxs//4P9eML/fJD
FU7ilQRyfnshM2b3B/huyz2iruLq//is/ea5dDzGfqyTTdcUgg3Ajz+UaRHEzsVbnFpyb7PXAT9i
8OU//zi/+zj/8BK/ftwW3KElGobiVLivSfAitf/Hx1ntDUCBs8MgmfjnHyGpUdNLMmVOCSeg6ayy
+f9xeDGt1W08yDw2LAV/foVCK6jvbaM8Lc7r6Fz3ACf07u4/v0u/+yTzIQbRJXEfGwrt9eMvwoty
cEakXJ4aCr957YL5tm5JMCqrDbuDv/1agLqEEIYCbzJ/+vm1iMxB5U7oIdRqahKf7XyEnKZeldRY
528v9c/IU3A8/PXI8/p9eP3K5/jXmHD1VT8MPLE1KKk/agmlm/1p4AnNGVcBalsXvCInwPeBJ9Ac
wSLY4deHfZcv//fM0/uEBJaccE8ZEQxmq39j5AlHkQ/Bv487tZZzuNwsj0OVuSvfxc8fEuQrlWkF
8XyKixtzdrq1COi9p857mBZ27/qMHMcTxRU05LM7y7e5yjR8mgsBvBHK9Jkg3JXTeZdt6p3Qi5Z0
W/YbWv1j1nuPi3LsjcVHjz+71jAIx57zklV5hd/VFmtjhDQq8qtyNMf1EAwe3mRqXb1GY8llwEgw
fbRDe9ma3JMrIyAyBhIiSYXWc5o5j+G8vGEaYMyn7MN1/5DG3U3jyeuYqnOne+5dnk4oOKfwOhg6
MhgHAiO19mC4NE0TK6B8KvmZl02CxhOv10XvRltqgoCYtGJbRNoTmZprj7BgpM3XXELbReU5Fw6R
fUHRGv4y9pskrre1C8cDgv7KkAaKpvjUpgSnAneb7xY8UvEQsDCqWnxoODitxCRV05YscAotQTRp
veQLYjcbRr4/wXK+dEi43dSj0W60iQwSp0w27qgmnUqtN+MiG71lZRr9nT0T+Ls01mNTM4dbh3Ej
KdP7ELhYT0wu1nGbOemDMY4UeoNLRvOG3ohgzCzpBnJQ5zBRno8wkxvw1jTDODrp9v20hSOgHIjj
YPt9qyTIIcRYXQ7rb8CjwDIepIOhLnfkewUGKdNbbzV0y+dFYtKwWz44UdA/dEXxOc7em8C6rCW5
SZZsL+a+R+LsJDSFxZ6dreZHaQWD3BmOnk6MacpoLYr0p1kSRVcx68yt+bU2rPqBcPZzmMuzYQwQ
RsaLXky7KUmCfWwF5kqLgz0cM1SRtXmYsaWsPK1yLmZthiOdu4/a0Lgru9a2oyeIhYXxoCTGbjBe
LB6OO72sIK6EuPwGFS5SV7s4Jv+cEAiYIwGZRdZWIbFRvPWPC3OBzBIfBI/iA07oe1wG8UH6MDvR
S5g3N1NEqvXUufu0WJ7bBreZXkZ7xnnOOmOeVUzdZd4jfYbj+TyQPUeP/9rNse9Y4uAl8YZE8Bey
zbtNYDKoS3Va76xRWfPNA3zBAdOgbPnW0kNK0nS1EH3TOS+1RxtMGsIRPNN5iYg+MIMnA4f7Tp/n
dd73n4kzPrMR3zpGcTKldZoqHdOovYirxB16/lYQ9AYbzgy3afE1ZVna01/4rYpfjkfylkmRw3Y8
38TsDl0dJSVRcbiKnfZ5QbC3DmzxmpOzt7b0tFvrBGYbWQj3Zpjv7QVOxVRmIKQa574oQryL+svi
RsfMm25NASKHkHnU0t7XgMjg3HP5GDk1ErOcD2BwnyXL5EMxBq0lKx4o456P8bPToWU1SD/qYvu2
9cyvHmBFP9HGmzJgAJW3huLSCfTPAck0mU00jMt+nRX9lBHS4Z3TlHOFxhid5ID0CgTSuC1s720K
uleShW4Co0ED5VjBph31YJ3Ptec3iXWosOvfLKa7Y68dFbfBUCd3VWGQ4Q34MEzJkC7LK3MJ3wxm
Fn3Wz/s88DS/SwX8jhADfkXSPZCIYku6zzvR7YvfO4R/gYHF590R0F11Hu+A5yD7tLDnBrK5Wgzn
0AmDFHfjIoq6c8PcC6+neWEv8nrqtUOZ81PG4B6rLtKZRWkS3S7W3ygHk+DIP2ryf658dUP/9ZV/
al6x0fzmyuervl/5hvNJIn/i2qcBI9CGO/X7jtNwP3EJ4C0RtksNqKJuvl/55ie2mDaaZ2Lu2UD+
6KExVZ4egTVw9XCjUEj8nTufPeYvdz6aNyIk2L/qnpCm4f5ShNY2G/4RGvKRfLTIN5csBUfWe8FB
m2r9UDgttjdNn/vPMoku42B+wcy9rCsn+WIO6Gy10RqdvQ2EefBrkxQuvarxbyXkVq/hepePaPjR
JJP200Iz4PFaYb0DBDpWZvMqEV2/ExoQgCUrLC4kHGAIPUiT4XzcwpFJar/L0Eqvs0YO27pJyJCa
lY3Fw8/SfnO2pHGFyyVRhpcJ85uGHJJnGjOMFQfM4fHHkKDM9FhZZjQz8baZstG0M564CGdNxuC6
wmnD5uK44LwxzOUqwokTmNqVJP/ZwKEzMRxZW3YDvFbZd8p2IKOqlREhNvZOr7SbhGf+XAXuoVP2
H3C4BVE4rXFVtCU2Em1M/dnG1dlgO8TH0Z+mrj1pKW7okQ0SEAKqh7Ic/Sgkk4SjqUNYEZtz85Ga
3V2c6XeYVHKLgVFX3Gg1IYWmTFl1VNuwsqNnQqzXTocdqQ3y4yAzgJ0lwLgWhYqomFqK0mVYScLf
bOZ3mm2N28rldnDqRWyaJt8VtTIeZTY5GFQtweLYG2EU0WkIR67TCnqFaTHqnLTybI+MiO1x3epz
A46ox7Iu8FnH2tEAFTvYhuInVfKhJdCCIyxmSJy5Wz0LY3bS+RqHUbNaKqd6sYIen7ehMbFcFYKE
5HZmK/7Do/ibkc3/anMVJtyBmYr0RTCx+WXkgaJ31FMPWp7Qo2oLzlu8ogF2CXROaa//aXk4sSw0
MT+86ZtXiNV/tDcq2fm//0spEauy/V3Tw9f9eQKSYgx2xVFHlgMNjGPu+wlI5oPpccZ9Eynyy/r3
Aeh8AvDO9up7Zg7t0L+1iJyICBdx4zEBoDP6Owfgt+7p56aHISICezpwE0cjOqCfm56k0VLhLCI6
5TpYvGMkyLSdDD1ySQanOLkpOeIul762P9uRHJHKagUsyHHSxpdmcdpHL5LlnefF1rIm5Hcst2bh
dE+t2RsBBI3M8e0ogUQYa4+TQGIGXIhlgRApOzobYkOx60Pj1A/2fZjNr2O4vIookIymz3br5j75
KDuREesnZgfhXmr70xBseq25RPPNiq9ln8UR24JamV/TukGkPjawrXmoEHmDD5sxw6xBs6nw8mml
FY4L2sm7kGHTrAae8Cq3z3Kwzjmbyk1q4lkJpuvFbVhzDKgPi/quMsXnyAWQWAYsQIqCEwFL+LJz
Yy9f47BDViCtc2I7V4PbPoucaDG7yK5gpxz6KKWWDIS7ka0DkLiBQ5OPlbuulvRMYf1Qy6U6mg2Q
4KWQbBkUyrOBMrEa5QD9MWOD05nY7CbAOlcQmIHtV8+mXQ/r1tCrTa8370vbzLAWpwxCV7/P2oRu
L98bKTNwh0H6rHlrKTnZXCG2fQn7NEJ1wDdlgKehD9rHBX+Tw9SvCq98LKL0q+Olt66MNm6VfTHS
6N4uWed1XSKvAiu4gFJ5G1cq/tpygHnnJft0QmtCpfkpM3mObPueTQUYC8v5apfFYcGAWM0uK3vd
xXFGy4i0oUzAf0+HIjaYYI5gQstil8WAVIRSxCBmgRxZPCZ2i9+GFf/WmGLfrthCWJy/2ojWM9Ld
rayd4bp3IV06c+tS8suLjjL2kc3oRAHZ3y4DikXLjKC+UZ3Xmm5ukrl/aObkLRjYL9tR09OK6VtC
up/Azz87xE0KZKdZzqE9qW9DH87aTIZPsJwyWDJtLGDswGKZy2s59FeZl96g6fgc216+LdKFye/E
8otVfkctMB9A1NELW8lVKUokjqhDIs190pxIQ6kDc9xIpmCtNfGW/QwRu/nJ9JqD9OyboWUgRmuK
HciRW82sP5NATQKrgF7GJWeXYLQH+0T1QmqljQDVwww21EiEg/beTZw3W5uOjd2/iyC/bzvnApT+
VTKkxOVGDnEJmdeyCeb3gK/8a2aMPGILpnp3ykBOFvaJHx5V0Rg91w3MX0PPTyIwbjBAbGsvfQPf
t3ah9wATgkyZm/lN15fuVWEiLs674imyEb0jjhQUT0V20LK+WltKzBPotr128vwVl37qQ967NdBJ
ZFrJsBczC64a0GzucpUV3bE3gOb38oVo2lc0w5eLxYuO4jZhsZsF3kWEXqoFdS5N8FgV29k4yI49
Cu5VIeknuOg2UqhELYMFphVdeog5DrHRFLftlAbt5cRujQOiGFY5EaIbj65xbyTuU58DfA/L3CC5
EN/bts70bocZDylSUaIbm6S4mWZ5icLfuI54sNb8zq1TwfZ3ZQ1k5tidMz0tdRGeG8PIDolMrF3H
W+CPmZbtDTakKyIXHXMVQt3TV4PdRftOM+E54LXJoD3oBMEmJJH+c03/cU1zp/51m3KTvX55b37T
pvBV3y9pbmKd7ROy+29yS5379s9L2iDbRTKWtDnHWU3R3HxvU7jZgXVjCxCIgtnz/XBLk5NHSoPE
xiIMgJ40N39nNPkNg/LLaJLUB1cw6cQYQ6Py8y0NQHuQnXTGU4csGEIV3vNhPjvlMPiZF55yo06+
UAkXIPXMe7MzmXGZWnDHsvtDi/QtglG5WkzA/qELkL/IEI44KERw7741YWqsp8zhPuyLs/SykBuk
DHbjQIB3jtc1qpw3GJV39rA8RWwFEGN0QLgqCFCYT4kiqC7NinTL3CHu1vSK7ZKJO15rM3bAupqR
dAbRz7h1XSRz5PIduxSglc3TBfDya9IS1sb+WZfTKYIaTWom8cXIaESk61vpmsMqkYMiWZU+6xx7
5Qik6HlGWAsDFaaqa7Pu6bskYoGxMvZGxC4dznbrMwJ1/X6uTN9Mg52dZqwWzJzeppL38Dehknub
3jT9vmJuyykXr+N8vlgMtONdEUGd1JdHy/vKDbdpxHQkvO7SGbpnfNLxukpwZYJk5oKYGcPaQ4/i
ZZrfB728GAwH6osGpkWPHkODXgzrA8ov5BBcjMxCl30inNMYO9cOAPawbB5LzXpDinpwyhStx7Kx
TWddt8YFxtlbMSMbDC377PIOBYR2rLSy2Y5Zdt1I72zH+ls6LXjgyZNdWTq5Gp4zPuRCviQsO2mB
8BMMhdzCVmhX3uQcOOHuNYUZtBf9MR6SDFROQmB28FBNzTVqwUPYYJRts+xdatHnadDuKxM5WTSd
yTDeQl157rXkS8Y6ZWVZM8TFintjUYIn0dYfDsxHvQeWQ2TYkV/T1Qj+jdZ1E8gPhFp+IPhxxn7Z
Vo6KuZDxXYmiF1xgudJDZ7ckjrVqivKzWdiwrFoSnufpVfYjny8DoWKuMOJDVxLWnX0lPPvJa0wy
rDEcw1m57O2ZoNru66CRIy8i895qQ5JFgKMCp78x9BE8HHrMDTzsCCLcnGy0qHdBWrnst7z0Mel4
kxZm0SuL6SLp4uLc2ZXvVfl+1nMSuoBrAgENx/Ba9OXj1L7gKzZ55l5yOH4wIeD3hDR+SycfynqO
YLY33kWAfXcFNXPayQGRl94DY+xrI/FnhZaJteoDzXDnIaGqOyZoUZDMfgfjbHkYvo2uLcADDJXD
IJV3RWAyCEac8hhDMvUlo2/cTPgeGIZPhWQqrsbjLugwp/B2kD+ZnBuuu+nGJrtE3uH4+UB+bDWa
L+VgJf6iRqZZxEe6GDvcHVOzhv9orrU434SuN925FYP6EjHiFC1fVYsc16G7wUu81Rn59yk8hwWo
hl9AudikLAYyx7meJLghFgaL7j7FLBAil/yPjpUCqu8LQHqQhIh+YuUA9HVLQni3XlhGAGxkPsJ6
QkYFXl8WFqm073h3Daz2wBwSxsmsNjxWHI0JGzYMxrfWlo9laT7nOuE6grVIkplM7+tlUdLQR4s4
GQJmgWvTU12Paq9SqA1LGmUQSiniaZhwjCswRme9oOCpVqLW/MZMP2YWNlXiPFZ1DJ9TvhFLj7E3
d042Kx67L3Vc8hFAdLYTCHBCba0Hxps+JWeXFRG/PHZFyTKuutR5AAk48oQQ+26NbuSj/9ngD5QE
1rC9SJhSEkBuMTvQDg7zyzYSF60aaIImPwMwYLpvXIIWPgR9d5WqEShjNmTuow0FZcjBx8c5uEqH
QGWZG4sfMEfVSPHbll6dbDtQmFQb+nWhxq7wGue9YBK7hMGrNudXERNaTY1qySv5oqnh7VxN07oZ
kfu2IB3z2YM3G9ZfRuQNqE5JVWa2+hC79iGqqi8xPtt1KPQc5GOz1wrx4JB3vw4qfhuZQ3RLn+ob
N2AKYo8XTg7HNrB7XEHcDlX3xROjXLV5xmcNoSbTlUwPae0a3cDZztyk8Jkatts26FoPDgtV7D/h
W38EVSrJwX+qiPr8tf3fFZH6qh8rImJ2MX58q19+Acfh8mfrqjODIECcYuRfFZHUP0n+CXgchpJ/
jXu/zy1Y46ImYbsqDOopZV35OxWRo+YSP1VEzD4Ek2MqIqAAeFR+roggHRSFSSr1ycrGLt3jtYNa
4tbpMQmytVzaWzdanhgK8jx32W4MvSdoHy1BW4C/y3DnBRkrWI6YhqGlb5bNrT2UeMN0wPmoNPPp
wpzazdLD1NdeSKri0OcUC09G4oXHMm7hxlrUD46Bqitt0fTb8/KVtSRivJ4dmgzcF4hyNOWmhl9/
7F6WMt+P7JM2pjXcsNAy/RqzG/+uH5ZhwqiAqFoyx+NBzh4LrQd41OjvcdV+jIv46uJlx5eZRsCJ
prvcnTjCJjqjWXtqFvxnQIRY3drueli868Ke54NGRDvD7YFbgbZkCrgQqH75S/vB+FHyH+LRHAwC
dbEjJiImTy8gBCSPgMwspflFT59Zb0UtGAoyjGOI0lzSXrQJnK7ZcITOcm2lOrLhIsJwv6lAxiOJ
Njvv1YgliLR4alBMFkOEVROGGZbEml2rBq5VEc6YebNQ/0Y9Ey4oC0VCM8XQ4HFUfLQ5hJRGu4jz
dMma20Fx1HBd1ivOFd4quqZVq3hrkSKv5YrBltf2c7lAZWMNN/pSkdrKsqXDVFfspDhugSK62Yrt
xmdTQoyG95YAfosUAY70P/aXqYyPgeLDjV7fXkYh3NNJ0eMQQgKPrRVTTovMYGek/YdQvLk6Auxc
KwadAYxugL9AfIUHJEWR6gyyeVexotdJ3X73FM+ur8fRx+DA8hTYXab37ZqE+OzGNUlfA7UDE09j
+ekxudpJRcxLh9bauVH9niuanqWm+LUi7MGgDy9557g+FH/PJXsRDApMvkCXvDeK01cIVhfmN3if
oTh+uSL6VXMBoI4hxqpV0MDO1ZrDqBiA4QgN0IuwU1Uq3KPq7Mznlwe7v7U+YgabKwlQ0CD0ecf4
G5mhrniDiVdRR7mufNNzduyU3pCnFaGQ1S+05UoORMcogGGiWIZJ0UM1VHzDJhH6flxITPGjbwDE
SbEQPWiGyUeG23lPJKC4LSn4NqDPWuLnFx1zChVFo0/3mWaE+IMyUAWml+Klqh8Zc4VrfQm6VUlk
rN9G2JuH9kUL66esLCiPXI8FQ87mdMhLomB0qJDOnDwaRXmT1G38efYQ3IsojLAJuC7oFMS0C7FC
RcfAEArPuizYwXq9/R5lw2d2NtsxdBnMedrHmHSMUor4hQb+Eg/W8wR0cme2mr3O8kYdIt6Rt+Ki
J9W+5DnV1PC/y9172E83tRFdVkTxroqmvHZ0+UXY3tOQacSwNBPQ1ca9cJtmXy7tXbt4DyB8Al/v
qGfqvvGHZI6hbMTzzhTIGnDtoojIi8PISqFxo3OII3nlhEzLehivB0tfXlEJKDam2MdldJk6wck1
x6M2mfVmJtyEJyVuViRDUNLEWbGS+GfeEhftgp12yT40BzTusjfRMHvy0raxXkm7bFfSyt+8FihK
rvcF6uH6phy1OxQX4y5J0/gyxCDBzhsEQjqPLt8SFd+sdfaW4tImHmIMb3O0m+gQMI306uFZdLC1
SJqTfafShpMg9nY6uJFzFjbVxhWYTDhh+l2b2DRE1uTtKmnM/pLQuCUqMVEPnHk39XPiBy3U+5gI
Id9bEhsjhfXB/muB1b1c4CY5oSk45GZyZZEo6JujLnYm8ae+qVfBlgjyeBs5Fnl6QWBspF4SsWRP
lkKDUJ+RrBTg9dkJU81fE77bKOepFSNkcsjcTIIiUr3nilNKV6nCI1lwt1YzWMr7HK76xLB3WoJO
JMlpamvC1Qm2AtXJMfUvhs4/O2qJlu+vS5276LXtfrOhUV/1Z6kDCBdLLeMVYYHsUNqzP4c/ZLmp
GkPyL3/Qbv8sdb4xcokXVUGjOqgu/of/KnWoggSra+DfDjQJvvxvlTqWqsJ+KXVYhiNbdGzLFOR9
I4D7USgp1ItXWZ3d6MAaGFf3Leqq8RFpLtFVtXaqIh3c4RIf00ywP5jdfT3zqLkLsilax/eyj4+0
GvcyLbAiGLWrnvVq1WLVBOm3d7Oevizweer348ifOFFWQKk2KM5fWqvjSiYLmDWE3071a+RAuO/6
d4cEidEz/U5DxDEbFQGW8ost9R2AQfy6bUmXGuf9PqmaPbzzQ5tgHBbWdsFsQnIxYhVgfrYoH5xx
uB5F1OOmlPEuWsRr1jCx0vXnCBPF1gnYI1V1DkAfCQ3ufOQw0m4vrakbtm5QoQPR9p6Z+GmU3KFt
q9YTsCt/qKbbwlB3oVttGSAjpOGbO5gUlevFHYlYLAggIKny5JnZV272ajcLCrcYWPhKm4P7JisJ
bISFoBcjRIE2OaZA6jZxCPUSW3JG0phjrZ2pnLlIXJ97+zKyumITjtkDHlyS0bFs4H64jRp8uoXr
XRqDhpnJ6o4EY93XUb+jm76Np1iD9sREeM7Hnb643LEcBYh7b6cItZR0vZckMc5zC9u9DkqHnZqZ
Yzo275c8fiHQbzNmJHPGLgw2M8asiXcwqfUP5QreIxUC1Bj3s08hB7U3MHFpR09RwvcfzggHFgIr
1zauj94Go1AVpvTztn8vk/RCY/cysrAiyZ29dmdAgYx5HX1qSa8DeFYW0XMw5+epkRN5VxVOEBMT
SEipURcouboZjd7ICbem8fU2Rp7KXV72JzCST5YR8HtvCTkxpnql59WL0cdXUEiumhgnjxYaLooD
uG1ScHl78ECxRxFmkXQQ98zyusDSVMeWQ/gsKQdhG1/rSflSJ3XMsF6JtWLQgkwI7JFvdFQ8diMj
5sLQb4Ro15U1MrY0gkMT9hf4Qx56bdiVbXGMyhITNMFybh6zUmwHjwZ0ZM2YRXSx+vCs6PntIIhr
mXZjXM2UNGzCCrvEf8FPNTs3ZT1CMfSGOzfNth1uyOW6G46BFm9n3bsIp+JkWMWNGII9WNUTCTve
ZlAeemXFU7CNvoyWjVgQW9jYV/iAxgFZBTQtNWD8suB/WuQWTDlb5OtRuTpzffiAGU2KdW46vqjU
owrPYUrszVi6H04y9RelVjN57T1vZxTWRWTgXlpwkzaUjCYMfUJFdpo2ETw8EaNDKTkSY+ea5K+i
4Joi5KJBmmzzQX7t0Z1v2Wp+Lc3huV76L4szElzSMt8KzfEGqjVMjNge1nNndz7H0WCurb7A1ITP
qDtw9qg2pcLaONU1NJq8u7AKLISICivbehi+0bMj2QDSlpBPw7EuqBucCdK2+4267RaanBBnCtPd
S4Qt+I9Na4mvMdjO/d0fRO/RazTz0E99eRitIoue6ZDEcILmti9DACJVggKc3G+5jVV4S01VZJDm
0gbEukCQvZSELWwbFfniavbBcqZ4w5peqhi7LzVNBU41m0FkIp9TjY4rGshBMvTFvjRVtExauND/
Jc3JbJWfq0C+RkkjNp2bAFxZ6g/EbAMcGDU+UsE1uoqwabpmIkFpOs5VC1bTS7YpeTekjd9qQX/I
3fLzEI8fi2aux0ll1hjgNMPKwm5vTpfRfGHpjEc9p3qNMSKSYsDUCeauD5gKLmM33ukiuQ7I5NGS
+SWLxMdiENbThtZHOuSPhR5vtOVSqEQfaTUU7M05pWlc6SjnoKFN2SGLnKOeZvrGIxaIHf0FLR85
QSoxCBAreDdChGxHza0tj0xpAoZQpBAoiZt/E0/9cdGhflosOnkXKoBrmL3akp2ayQYVUETFPJYc
owW5DIkv2n2XbhYrfBIq8ciVCfEFGunYbuqNvDgLWzUANBcPgPakxMYwjrD1kaSUT9Xo08xcVW5H
ypKLjzs0nFM8FkeECAhwquDkAZOArE3Kbvdqe+Ps0yXdzSq+aVFBToGKdLKS/iHo6fj6sXgqs/Iy
0VK+x3557lUgFE+d5DOwIOLViYtqyI1qPe+BA3qrV9lVmkfdSoTm3iRpChnxTouJnhrIoKpH82Zw
q7NnlW8xFx1KX/1a6t0B4lSwZkgf7ILFaNCMNlAMBq4EFXfFSAU4EglYnjW7qyEs1okr6l1rEXMf
y/aUxj1sJWdbiO5xyI19laIZlypia+7l5Kc60jTdcOuNB4F1R0dE7JaK57Jh4WDvNHbkiLgXHW/o
uo2yk07C5sol36svCPWube+SwfVDhuPan0suQY6srQb5daeNBj5Uz17PCnre8KQdQkPc2CpWTGsr
ZR7V84tFhY4N1M4M2VUQmWNeSBnfQNl91PQSDGdB8geHHAecNe6XXPBIWO6NaAYizgxG+zapZ0UZ
PplWfWoL58tCKtpk61uoFc9lSmAaKrBNR4RakFfPeunuTdncjUSsmYm2NlXmmp5FB0EIW5hn+BLF
u5cul2Ef3yIiZUbb6XeFym8rSH3krI/W/+xcv+1c1dTvr8vuczy84y/++ht1qPrC75W3IT9JlEcC
5NofdfKfhTe6URvHB4NEpJkqK/nPGSOAdZ0BN3IqAzqqEm/+WXib5icKdQihKAItAR/nb4VTeD9L
6Fj1mtJmwgjC3SarEcPKz3V3JIoB5Ikpjk1Z15VzpRH7RPALQ8I25yyUSXryemGmkBMCNp14YJet
Mc8cunOHHsBlRHHqy1pjJDJpF5ZVmMeeOnEzirY4oILO71jtjad+ktUVYZPlly7sxkuRj+mdNEZk
IGUCuKWbnPdAxHJfSjfYgthVWM66Kz+zH0W0rg0M6JuxWrG53aXCGDdLVpAJgRzxQzPj5SxaO+7X
XlQQOTSTGae7HipEu95MIhEcYQkglchJb/K8D+4FI75zT+RodKcnVhq2u8wx6uViqSLSnRvkuiaT
CacIBS+INqZH047IF1g1fX05v8LVG26bxnDRyJdw1Mk2twf92rarxM+tuE4etGSxlL0idRzC/ey6
wRZuzjnCibn+nPY958NAFsbC8HcDARrV6HzpdhVgPCWRJUbVsw6DUs9CgkZImytNrf5NXqvVSmo7
x4Vpwv2C/jtDtPA2JLKf6YQGZy+UYrdEutslGVMXuK0kbSV1d+HWbjycwYsa25mDjKSbiA/meMy9
bC60P4SZ/zTiCnL51yfC3euXBtVk0ZW/2Tvwld+PBGF80tVYX0kmrT8e/D+bceMTdS2OwX/9C1/1
XYmB3MKkfyN5gT+EpUQa3/cO7iduN3YRILSZYP3NM0HIXwXjmMRcYljZZOjIJTltfj4UzGQoWARO
44naQ+eejRHXDlHiV4nyAE0d3pi0ZUBmyeFlTPJDRVD1ztZdh3VhTErfDKo9KFzjHIa2T4Ane+25
cED7xdpB75ZXKxALHP3ufbTr1negOqyqLLgze80+gp+OyCI3a+ZmQ32NJ9xPwuixi4g+1ot4G3vu
Zd6JSwroj3SaH8cIyYJMCeqG2WGIvRej0PAShrRxDlU3yUhyQZ6XbSZd0u94iBiQyLwnjnwYbe1z
Omjv4xDVG4c+bz2N2IfQIH6lFw8R82nXHc8/Y8piXo3pWKwGz35T8XmsNaG+ZGglUJTQw/Vz+Rjl
5a2wQ98uYV05MxFWdd8NfkgocngM4wu7Ms91a0PWCd4XhQoqKCSAyphNek2NsV2m5CmvzVUggi9R
Yd0PFhm0evIxh8oDk4lbt5ln8FJAuIawfSg1CsC5p5brsyjbTl1G0+Ax5Gzs+S4PO2vTOaPct66e
rM0sAvtU9GgYSrms8xh9fxskns98st3ILtynER4j+s9dj/DhDKBJcHbi4UpmVAZGTGKeVWrmsSHY
kQguVgopfITLhfTRsp2gH+AM3/UTYBUM1YD/SQmXfWLt+8Cb08ci1JzwKNolf0paC21/hrSdt29Y
GGSwVxqmmJWB5X60ACOmaDhFHdRMlBEsQ7tvi9GGBuhrnpWOtvGMzNvH0gi2Fjiek6PH05qxMfwN
MRfbSo7lMV9E/OBCv2m6eNozxPqcAi9kWl7Fp1EmYqNVPX6E2b33ivHCzK0d4Uk9rAkj26Nme9B6
5qC9Ppr+RDjjjhzJ8JzLvF45LYbktsCup/Negog+TjDLQDLHDjW+Qwx8nU03JD229HJjdR/Ww1uL
BfngpGLAAhe9VwZj+0USdh57xrXmlozzoZ7y1lsGO++u3zcEX+wFvKS72q6z01A6xX0qQDNVRhyt
B1ndl2636TobwUfP5RHGFmFPKEb6QGM+Dt1q1ZUzPB8P0SX5qus8LT3fisWIUNNwtzPx4JfdrL9O
QbWuo/ERmyfUzkKfkauSxBpKj/XTJLULAmrHz+S/j1Ci6mATu12xm6oy/ZJiF9hnwH1WS+2SLBRN
+2FBiNR03gJUe6lgrloEB4+mEVxFUDGO7jBft9xUmMqwvON45MnMh2Y76e606f6HvTNZrtvqku6r
VNQcCvTNoCYXuH3HS4oUxQmCkij07UH/9LUOVbKl73f4D889tSSrIS+wd+7MlTplCorLsiG0DA+t
NS3rfyfUHxMq89rfvY/K/1pRufGX7yN+5R/vI5W7NcIr5+b3SZTp9Zf3kc0ir/M6gP8AePHP9xGQ
RiLJIDV/3rr/eB3ZH5CaCeXzDCRhoFGI9o/O4DKT/NsZ3NMt6s4oesYUyCoof/wXRIPoZ4t6PVeh
NrSgegf3mVz/y9yGpyKhc5kz7xSJoSP6duMt5PmDRNSNsOrGGWgd8df9IjF2JF1SH3NutdIl5K6R
uLsE7h2z61MFB69Wm/PMdEZAxj3VEpVnVuMqrI3HCIZeIWF6UZffM1Q2vgVnjzSMj0It6AlSb56K
wDm6gJjatKWLwvk+obNt0rF+KPT00aFEbb1kWGZ6hfxf4TXPZk9XSaLVQZEp44bOVEBklbIhe9AT
nGm3Y6bwZEWyWYm+OMToUKg0YcX7DECUEoST+VLngzLfOPG6w4YyshGVtBIdT6QmVWtM2ajDgYfE
RfbI29RaS5uamIu1zuML4I6xHmgW5h6b3vXpTGkj2nlRESbo1fRb5zCTqybFQolLW3p3yYdHXdBp
QmDc87keY5WZqwdn0lAeC/0lBfnFbQ3+ETAlzPs0VduhEIdGLb80OgIRjGYkoTV2Ol7JdmHqtyaL
Mm7rDhrqnH1UY6LIDqYAnMuqfF0/lxQvc2mtiG9N1Ym3/+wrjrcuHbLnUb0v8+oiNLEtwArmnnOY
rPCZVQuzV2bM+8pON31pqnsNAxfQMkFpdTeBTLSh9ag5AzB/nk9u1CWHAcfhuuafb+VqoSIxksUV
msJH/IykxmsnIRLlHM13jlknkWbZO92sfSedUbp7XvT5pgokWNUWqH/SJ9jW6kOExZMiUFRjSp4a
GGoKlDdGgJuVOnswottsgBAsoWsD9LXOLa6Th0466TOzx+CbtHYItp44tXrYnOknC5CbU8XbkVdb
IQlvHqi3CeRbDfqtBQEH8v2Z2sudJtlwLAC1b0te3AI4ji5uCHKSJTcBlbMlXY4vOYVzffpGMe1q
aPmzKXNkrTktkBoATzctnHjB1ektzgLJr+v6/Iyp6r6QZLtZMu4MxXxI+vFLqQhE9Y9tr2k+qd5b
FKdBzf2yrJcDaNIn1UtHur8BeYLTS+aUGzZeEBpsXgpJ3FMczqSSwWcA44sllU+TfL4GUJ8XatVa
pUZisRdYAcwG+O10XmaVUIIK1B9nqi9UlYAylRDAKL6OQAGbdjzFlvaUS1qgqs+bRvIDE1CBIUDB
tChhL3P1pt/iyyCZg8YYnjxJITTAEeY5P40TAxXlHZtbsXcBFw5deeRnLuDFDIPMvtWtsnfQISim
GZ+pxB/GqkQhKnb0OZX112hsaEbgEhWxgwX5mZalzegNa/ii29RwXzowi0VvKpSwdIGh9X4HiLGN
6udZkhl1OYKOJsUIQBtdrckDTXIc29Z4TgA7jqKlohnSY+WaNwP0owMCUpcsyHkZztYAHXICExmW
XNfp/KFz0dlyQPmU6tkpUsWjU9bqKk/V+w7kpF7n55gTMR2Fn7LCfKBE0lnRU/jVLCTmoaW5TGcZ
gGIZzagA1NLscp3yBkCXfJMcKkm+jEFgilDd0LSFY7gfngu9CQim55sBbGYFPhPS85GSMXyIo7Kn
R2anAtrs2mZfAN4cB3yd1FxOXkeOYLl1Q0aCsWjOyLDHqeZb1mUAK0T+GAL1zMhymI2174B9CrM+
YHChmCx+GoCBWkBB0WNyPA3hZrCggQ3ulwx8qCY5ogtA0VBvTzOA0VKSRgXI0bjKjoi8LxMoUszh
BkcDABRVo/op4SxzSDYl+FIYuscEnOm/s8n7bGKiZ/3NbFLlr+Vf7MnyV/0xl2jMJaA5UclUnUX5
17lE/4CjyDVIGwI5ceUP/bkny5+KLm0AvAFN9ot2xp5sIDhL1jMTjaRR/4PBRHP5P/0+mDgsynJT
NnQLCpoU8H4dTEy3SFtU6Pnq0rt656RcCnmdO89kxPTDPGbUFmmds3G7QT2PM1PxsAxxwFF4eXK8
sXuI1Srf4k5OjjZphLWjdO26TBqKvxv1kuexdx7kBG3JWdqYOn79gMgYMPUD3qzqaadwcp10ZgrR
xeR6aiP7mvDx2KblGIKxxJrbspu/FHEcHapG4oephAp0OesL1605R89Png4pNjde57BwMJezIXTk
IY+l3BpaqvsgW7BJTLl6zeRu0SdZRtiQfGTM4gFWSdqRQO6zqS7yIpGmcAm10bx1ZRFgUY44z9Wf
4ykKATZSQZrVh7RCh5/SMtvri4d1n7H0LtKiZzWboR0Y7casy5vFp29N1b2y7exowcvbG4c4Vp11
buRHDWL+ns4hL6DUx9xmeWmuB2AxO1sb3BUXr+zQFDWjWzXcljYlxJwL7MMKJnLFssBI4sTXI++S
GpzDh5l/HYWulPuEyHrAcqxdhSDQODtjvW9icej19AVxlC2NfDbuNztdaxEPnaihvg0aRLzmUNAG
uZKpm9DWdqlJna3SRjyBh23RZSEJrL5+BZiVnqfOfFOySmWFJNNXWKobjIxdVJY9kIi4EVkxVtk0
bfUhf9LfLfOmh+++1VkFG+2u0uF6RgKyCOeAWlG3kw6wxmkIHdATu6IOEqv7YEZEOTihOmVxFIb2
ZllVvxH2+DDElDUK7kESM0JvbqFencjblUW1HQzrlE7euR7Vbaz1wH3zCKtiaN/NYbpZouRaLElH
7ovoCaDw1WLNZ4sDZp0pj+ANAJ1OJhMf1eVLH74UevvFwOwfeLH7FabNFpDII6k6qGdkU+BfEaah
23AuLk1mVYI2Cbv/arpL62uGxTwXVtPJG8uaTwWuu5OGiNqTQ+FQVXsg1h2cY6cIoOf+34fxj0WR
xe1vHsavclFsy9f2W/JXD2WJlPj5UOaeoRly5fPw/7wvd38sixw0XPzSiJQSMsVj8c+HssWPsBF6
SIs2bQ+yruaneGl8QAmVj1GLnBn+n3+0LcKG+4+HMoogSyfV3ayKvANU+eO/bIsexaK1xyxwUTLu
s5YU2l0EwL0txffhXYfvmq7F8TAr6PPgW9Anw7ER6SMwfQhN72p+KYV9GhojztC2FPynd+2//3EI
iCaMATqdnEPKkaD5cTKgwo37QfZ+S+Bq0XJY6N6vDC73aQZByky4wPEWwZGypB+LioUK6S3V/Zx2
1YdYw5Gx0tM03tSUry4VWIzdHCd8nq3eeSqx1kASh+T0VMPLmUA21MvsmyWila+IpvQzo3bvjGyo
yRQ16WfFqq0dcL0OT8yQhwhlWuSuiM0k50WAv/KLkHOw7yZ26HuVvi8jtfDxCPYQNp3i4tjlcF/A
91i3faaboMbLYdcroYXc2LgvOgbKBViWVy2sDr09rWhptRw/1XLnnjQOlpulK5Jd3jrL10JXDLDm
5ixKf1bZSIhpe1bKC9E0ekDx7mB0WwvdUhHc0pXhM9BtTcMYjMfaTLU+LtfcbDizcDLhFQrWazRo
Md95ER7a9Vy30dZBV76JdkhfSOeJm+cIZ5PmtobWCMbjI4n0i2eIGlSQwr/mXalEA5XkQiKoorDq
mz3VPD1O0URPP2fwSD5OHiAf9lTZbjviH8h36nvxreLKEtyGVXo6FE5ijm/26EZvnuzSJXsbAkqP
KdlNZN+uUGjeLRQ4mZmbiOfY0Or22iCrsS90q3+fXD+eXJws//7JFSRv0V9Mkga/8I+Hlv1BddGQ
LF2V8VbJ1/upcPHQIrDhAsq0iFm8A/t+TpLGB4B5Uvv6U/z6+dDSPyCXGbKtnlrIfypx/RWixzSY
VxllyZYwocqLzC8PrYRPPcaEzjiDRcX4bGUNd1K/t63sUCR88wLPGxaH1AB1BDoY+3JeHnpCmxEp
spPRp85rFlOK1DVAIpqX1Mk17Q6iXA3KbYB3tRJD6V2LqsMVYPR5sm+6Wf+IEVOx9ppQW2XleUp3
LUIjPGSzrXZrPctS7SFxgIAdeVzl4qtXRvZ4bo26tW5oY9sBAsQbww+ZjTLp0YxMsq9bVR4Yvfdb
Y9fM3d7MdWShZSGDtQ4lY2gxHTAFThOrR10yiNqmST2/pOVkHU9e47dN2617dU6OVjeDYwiXmoXT
C73XXmCJ48IUkmljLVh8IC/9Xaxbr5BOXwCPf01tVnmAooWP0+qt7oo35mqNE03RmN/o5PBp9vb1
Jhr35aJamw6jx8sIcXA16Cp3qzGjiRUTPc51xIFPmoJK7WVj+HXC7rUTRqnvYyWMT9BEpLeuJdva
9BN347rZmuBQfQwd3arISoz5LqEBvNsY+4gY88WtAxswDYWUYeB2xdHtvcq3wtY5o20u+8zk6EXR
N3KfF2+dpClWLSbMlTG7KTAiKDwOTc21670BrVC27rDsco3NnPPwdg5JfCqiyAhPttjLzenZjE0a
cceF0lf6tyvNA0feTX4Xt+MlY5HwmZon38slQQJ26TqldvWqRln2AAjFuKdQq3xLVbPF35mUn9LB
JDCZNN/KeUh/9CD+eyiW4M2/f2odqtem/6uWP/lLfz63yOzzONDQpLGJ/I4W44hsuTZmA4dXyw/m
zs/nFi1/PDp1nNngpn/szT+fW6DK6Nn68T/jAv2PXNvGO1L2N2XeVSVuGp6AaUiu6X8E1BxXLabJ
nNvrrODFIFfaaw2R99JN9zZv7Wti2meMF/HFtlp8X7Z1a+DwMf+o90Zo3mctNlyVx9M0xfSjDMfY
0TYDQewMB7My0KhQaie31IJFJ4I5mNMXku4nFebGyuiLC5abTRg5JxErm2pWbtzXHp25/IRt2nfD
hs+Ku8KmAaOj3Gd9hcUOc7IdG3v81U+UgPiKqd7mLL/09PhQlHKZ5D3Xsye0poV5RKNhKXq0qJzA
wZWu83b84iXdOSSP07XGixHxEOy6Qxnam87wjoPZXMI4vngVMR8IQFFcX9gcV0bVnBFXPzkmkQh6
SDyuuGyA11RLqc7U1pTZBo1YAqzgn71E3MVxf47G2R8IX5kUAtDEcmnpBSdaI6iWWRe0BNDt0h8W
z30NR4ymtvkpTQfczBhtLXEfRwuJizSgMntl1+3DLKDthFNyBVezyxwqflL70RLFbpnFfeF2X0p9
4hRZXvC/nAa72FlLfyjaedc3ghxLLTf4C+M2C7xHx7p578SAiojr7TqnJECTj+esd5SVNiMJhtmr
UZn3Xm37MSy5Vd47117pTpFeBEs07Fs6rCnVuE89SrXV8MksZq4rxtqGk7NqKKegJdgkZaU2IFSa
c+LmI561hqaeuQ+DKrFfnYFjTN1gXa0trr5TjRzM07YYpy+gczx8ei0vwbWYvZF3jnDbdIfHKN7T
2dumV3NZJvq06A0xtkOLocCDC0OEgNO1vGFXTY8jGQNjVnX1obShLQl589ZyzTjTgDBgZdZoQJ6g
ifJGpOXQWNJ7XdPxJalihSa+S0syCa7muWg53NlLQEq+Jm/vae0Au5P3+F5e5imXsgLBsT4x5ybA
MwuazbCzzSJv+lWNd5iM06PbdpQE25xFUiwAicvGvaTfR+kN8BT9o4JZgIBDwBH3uhA9MDETNCIb
efxzQMBpkCzmmdTOJwUFPT230pHAz8WbUPMaNrArJNK2UBVPo/Qx1IPoaIPA24ByS0tMbX6JqOta
qdIBUYumD4TpXYgv4vKf0m+ewul6MElDD9JDkenuW1R7L+WsP1qYLPjzk7+rVOHP0oFh1CjahIco
4C0pM0avoCcFnEWNdcNwk+uAlcMtxidzmr/3jnpIsXqYVZxsJoVqHUwgyUK5RpE3F955DWZtXpq6
9IxUmEfKOsYK62VirceDEfQmIK5RK59HvFiBaIpvSiXxC9OITYRc7SbNpn2o5NtURTL3loHwKhmG
vJuuiep8Ibr0ZTIHSm2ngu9bx0bpQqB24nwXuYxLekPDUU00qjH0bVjpzx0FNiseUyAtrH0SEV/p
7eR5joD/eoqJKtdg88Tkiuvli9K3gdBljXuIDFSGnwx8Av7sgWXQaaY2qVDBCqP7ZofmsbT1x5iD
VKCm87ymYUwqKOGzQbCSy2To8P1lbBpZZOJ5Ix/RJJv9quJj2Y4upRqG8b1QIecOYSQpwS154ISW
y6LZ01Vk82cbDtBNr1NBJg6RilSAsR9jFW7pgGtaPXSjS/eW4nkwHLBl9+p0ymL1YYy6o1XGH7XZ
ge2DD79sU4razdEI7Ek5Jb2r4cTLHtvYJEPGCS3InTrvH+I4KzftKKLYVyoYaAN8YpIGQ7w3sYwQ
O4RrpLoKIRFSvXNJu3wpimoz9TrE6Zm5kyiEo035LamGxP93g/qxQSG2/P0scn4FO8vUUTLYzvtv
//Pf/5ew5xf+MYnocoPiXc9rHpFZkkx/blBUERN4R25xPDjCv8k+zgekHfJcqDpQzNmw/pR9nA+a
iiFLtTTUeluChf6BFi/3o98GERkZw41gocLrjv6foo/ox74p7Hm8qtVdG5nrGSDLL/8onJ/mqCr/
q+yLu4q8q/if/+ZP+svv4NJVimzFoGNJbx4opP/wxBF3Rf52+v4qzPSQODi7qQ2+CXOnhXeku8CD
//3vh5X3//M7yj/RLzuhzg03QdzpKVfpCQnMEZxvKlp1OCtRJW5jW7mHobPqi51BHhH2xk7Jnzfh
FFqgVToH31xpv0y6p+9tg5vcTEA30EQFz8ONT1ZFBN+FUVi3KiyZ7Ls3Kc+0wd1Vmm5i8cL2lUat
RNOQQTawz6/bXMHIFyURpXb2Vsx5srEsxwBRmlTbcJ5Kn6AXxWUt2Vn2K1qF9ISFAhJgn9y7THdg
IqHYJcNJaUK+SildYCFQGtJEgTnDlrfHW0gH5ipUjF1VaXcD6BHUxn2p4jVAID/S+7zqDeWxJRy9
GsqXYTHuJifeDc4i1lontpwEtmbtHjhNTKvYrkbKrFqxDeP5XPXO8uB06HJIcQhRD9xD7J3dEOah
wmzX0AvZ3Zba5D/0RUvSIo/MU8fB/AJbACFNdAtNW0bDJdE92WzC1NqdsAbsp4yt2Atpqssu82J/
wp5GLByRh+Yq8kV68tW01G/Q36z1aJnnqTYP8IGCIatPHa3LIJH2JJTuVChPZdigf80nXIin3m2r
oFsK1Y+s8SgG9VODJm+a2D+Kcnm0crK1YTFnl6Qv78qs29JDdsmW7KBWpOSm2sZI1QEgaCbCBxB+
yeIQCRKp88jujzlAUaONXtRQ8PuxI/mrQ5OAYH8C+gf7nGxBXvB6H69m7N6LvtVWGvoEpXftRqMf
LMyTu75UHsYB8A133VUlw8GJx8W2++bE7L2and70aFx7fdGD3NHoHrQDyrduQPRQxqDJ26O5Hdth
o7Ksdja0Lk0Nqqp6ABN5V4RNQxAIB0GXZ8P9NMf3+M/3gLZANrrPpDz9ybFa+s4IDKVJ+73EJYPd
nFgzbosFXJWpmj4cpDeVmuySDFljavRQOR5tkjSvGgasRWUkLRjdxclwNq1011gF0HtrnTul30/h
UYhq11ociJcObLFyoaco0Llc86C4zfhGMMYw8RlmuMF2+WS2HDH4hIBKwFJTWvm8y0Yr37c5pkQG
AnZ55ZCJ5SMiJAbXvGOKqh7SAUBDSu1njxvT71391evT19RxzxWt4CsKwTKfS/8MomDEwBgO7u79
MfPvAm6i+//tSw/QrZ+/tq//72tP/tI/XnvaB3JcQGoxLLJ//8drD/MbZmvSHaany5PGzwVcbtkc
pnnjme9oGTb6nwu4/QGp0dBpzeL7RJNy4z957b2ja3978bnS0Kbi+bbIaRN8/f0l4WiRluetVV11
lzwlaVtZsyEHRZlu06dI249htsnxQ5VFya2CRehzgVeqwNPgYrUg+nVxkL9TS7kuCtwF9jGK7pzq
lEvjFR+tpxknluvVpEOF9B8r3XrArfWjF7BbGOOliatKndsUwcBf0XNfq2u65qhKc61RXWuTeln4
kGHvMIdtHMZcOy0eSqXa0WCqeQANWri30RxoFC8vYYXdSrUq4rpjESjUqk9s/dRCQn+AlGQF8dRN
wTCoj4PWBRzd16PeCfYnM5MOc8qJW+srbcCxX0sUaePBygO38D77A4Ap068eHvL1HFblqi/iDHkg
3vPMCfd5zZMBRWNdlRxW1YpDs2Up44neYlxwQ1H6Zps+Is6BS88JWfIKu+LCJksHomJc8LLY/cc2
aUgDZ82j7UTXusFThp/qZE7AxAiHyZm97INSyWuirey4nvR0Z01/rmtypdlc5ZtlUPAjWwer1J+K
dLj3AENwoIKetYzazjEasuhZ8m1gIY3K5bLoxcBCaZKtTdvnvMO/1lekjpP61MP0XdWQHbly9b6y
oItUGchNUYH6rbvUCHLd3qedfcvCmUztSBs8hNR1YxbuZlSqr40OcZC9lpIIgDONsq3U4lSAKmYs
ORoG19rCFMdm4Hsm7MVdk9jdys34p1GHuV+bHo7eMvJF2m+bxjg7Voxy4lWK3xDOQ0EtAzKg2zZV
7rKpEucF1ZuvXkJC2LXvdVs/e3Uu61qHCS+c6fg6JazIKQuscbMTnPFVeqFI84tIcK+hTmtIy3Nk
hi9zM8ybXHG3kTDswOrUJ7NBFjcah2qvNJibzg7cJLpFo3bSJilMTGzN3rfWHnFjDoJ/Q2HvowZJ
AtHq1PXimlSiUW5V5eTL2zzl2Q7AK+pw/QQZp4E0NByFXLXLXhocOu9zlWGtstpvbj2jaeNAWKIN
8xiuuPHgdcqmVfVjlceXpKoOUyouZZXfDSXNrI0gNp+H/bi3Q+v7Yis9k9homNukDx0OAOWwPOj2
co4aJhstT8YNDvBpNRo2v6+5ZZnejnIeop0E/Ixx11qfhZyXit57LHlT5wxSrd4yfHUWqx6A1nq5
6xcdPYLNcLb6Gw87tke6gHULVl0CJThkYDNEd+IiXGF7647gFu6BOciox8MCUxHiCFNfLOc/ve34
oBROufUijQFIzokGAyOI+GjXyBlSl9NkJedKpec7hzJyDqNy6iwYP13GUMcsv1eMpYWcT0H0Py1c
OSwNasEkZ1hgx6DT2tBZIUx9cTlKnjAWnCl15DGhqndFhQ2WwhXtCuPkzVicaa0u41svYIMW9nQP
2KneG+XwolXFpjHV5zlxzqArN54o4qBgYvZdU5iQVaJPJXdAtBTe4e7MEk37Y93eeUl+VLGXLnKM
sZrwklJNEiR2tqsoaD9wVXl0Eav4nYlBe+ZHTbX0bYzNIVgarcZpmk7rRtHPEx+DO6fy7hlId1Nu
JlhSB6A9IIX1OtVWSWWQXnO6gL9rAmWPcnWPzve4AY/YzXAK6a1bc2v9Hnlfk9q5F51xn/FvwnuA
SuIIzG6Xu3ekZTYqXbg8wjJzhWQABXUByzwO6TZuGvTDNGez6JRvCf8714XVZ1nUJljRJcYtyAk0
GY6mopVrvqDzztKn+6nEjVjUcRBVCUkJt9x5NH7ysW2j/USTeahw8aTYh4Mb52LnBW8sbhXC+NGE
HhCZ00aJmwc9AVlKhQtKqd2vJ8SylReJr5ke05gkjC23CY7LTXOOBMIFIt9Db00nkokpwYZm25Pd
tbL6MlZ1vq+1kV756V6dq7USGvMGh8Cxarydoinjx3iZ+83Y62+Zh2AlHHw2MD5wuOAC/neeehcR
zL8/w2LVTeaq/4th6pcrLCcLE+gtDh48IsgF7NB/aAgGMGHmGARaGXcl1fpzmDIRHmgCsFSZfbOp
BGQ6+79hyuQ6IgcvF6o/6FcSs/9kmCIu99vGLXd7yGUOODqWcfpabK7Ev27c0PxFn7V2dTe1KmHz
wRyBZJmU0ZvjLmavxSpGPoxgkHrlL6Ee1bwAsGJTerwnKFc9J3DJz7ar8i1mGM1DSoh+Z029uIxZ
WH+ru7DYOjmlW3Hu4K/lwwRklx3LYPVRpjvRFt21SVPzs6La3UYLCeb5pMpxVpVheclQVmHkxfe8
faxrpGnKQY/icbtwMX7s3Nn6nA8OsXDd6s+diB1OHiVGBKdXso1mkU8zepUFzhD6W2X1+bOl5uUu
srgZ4LISrwM5xTXeamqpWm/cOinh3D4e6ttIH22OW5rXTFQHA+5qPNhKaQ5fKVmPzaNG7+g8YRrM
+q22dL3yZkZeGl9w/vYNOBdRtlcnBp3iRNoUP8Sph5gx9oLwEIF8Z7y4YONswLgmHFNAZ6PrlFjY
6lEJLIgaeCOVkmQFJ+b5SzroDekFsgweOsdne5S+RcWxqhWchnLDc8Q6zD2SejdWy6scmRlNaakF
/YbzLIngy4X1EH3hOynx1XJZXkMRL292Mj23SrMpo+SgODymCw2+x2hhm1bqMdKIBfTzNptduMFa
N5+yakLD7rxsWk1FRUgjGaNkI4rOYN4cCiAzWfPJdJJ8n3vaowGsYFcrDW00KjUAFoo+mEFhP7hx
Xew7he49gif2heu3GhS6JM7j6as+hkItILHk3hfFGZWDkXe0CkzFlQu7ErTdgKirKGICuN40XTCF
CYcapaJyrQ7Le3ycXDQgdrxEMACCxXPSxwnEycmB1H4WwFI+ayGBtXEhDSCypfq89JNy5JsX8dkh
sY34Ez7TXDk+lmlLk3s1IebQyHwXD9BZS7xeFB2Y5kAHhaDdZsCg0wFPskSAajTiq+IWQxoZFIHN
0JJjmZ9G4zbbLcXQamVrb3VVL5tGrtAenAMw/KRM/n0W/3gW//1xuSKh+ldr7a93Zf0DXjukTFJV
FEzJtfGXJ7FlGKAH8M7xFORE/PNJbLgfXDJYPG0dTe6b5i9rLc5qBxc09hWOy6AM/lFlFSfp357E
Um0FsQqRzMWsY7iOLp/Uv2ifzPl5nampetXf3aCWNIYa0iLapv16MPngqUWY7ZSQWTPVvKewo8w7
hELF6OJ86Yr8wSlGj9VFD/quU9m6ki+9ou7F0JyIO0V+C4YRzPMAq3foNpmhvYzOFG2FPopj0TT7
ZuBzsCRXo1P2lMufuT6stFag0dAA6A8zYUVHuLsyYYrgSeWAB+1Gu/IrZbnjWhf6DOb3utFx0XUU
/Dwlh2ZFw/eqfFRiNpxwSAXNC8kmCu1jnj7nyfwyRtx0Uiu9Fy3t820jfDqhjoXa5OuUGOpcVfpZ
rc1rzKKxUjWMOYi/Q9kfXRF+q73xmOj2iw7y6mZOHJSiMjyPJqSSSFc+j621RtXTXtsZmteYuQGl
Kk+Jrn6LoJytMD43PtPk4+QoEJDwslSkbLPMPc95FK81/g6hmp2TpX4VaSU2Q0hPCOG6wo/1xtqW
lKaEE/ez1i0eef5cEeRfCpsSwMzRT5PbbDsz42BaFESoMQi5IMub0LpmOpu9NS67ftRUgisedSje
ph+tM5nsrdq5XF/d9FYWiHlDOZ1csZxG4apr2lGekxiGNy+ElB0/e2oEr9Qs656tZTySK29XnSi+
V2571jUjggEdXbyYxpeys9ej6Dtf6/SdCJGDRRN91POWKhPmTqgw3mG06bHA+vitjJyHKJy38Fan
NWvFYa70dwn6DZ7FceGVY3Na5b/tyooR1RxcFhs9EUS2ujt4avnJm4qP9qnSaBDxHE6ATDYBeNU4
cHrxHdr7LnXarY2F3O/6NqLYPTtrfbOuqx44UQYge1DEgza0W0gVn81ZY6nClVi7FrA5go5dVWFT
LYtbn8aEnAQtw92S+zjt17M80pvgAvxsac+1lwsIjCHOrtnY6lF1zKg5yT2U2ox0gZmNhzTuUj9u
50uLBwlR9tgthJwUN3Hmrz0E/09x2Ukbp1fQrAkq9F6vwahGK7ctlJtae809yEmMYfTY4IdQN5kS
Q/rVw+9ZNL2FlqeCoYXNpzbOwSmnJ2G3X7qMEaGuqhsm9K0SZzeNUd6l2sY3gIbVE35SwxkIv6vt
xrW6i2bkJn+5et04+A2MKd1V3WSuaVMaSRY71DMNAvMXrO0OE4Zhz6+TrQfNNL3A516r3vzIFzom
pKDs50Q5lU28jTNlXyJUUG/uR2keeEq4S4t5k7lQZCfOE7O5HIy6+6Q1LdU0cxToxbQZCl5jRsLr
NKGJlaJHWTuwHVH+i7rgC/LUUXY2T/0GVd4fyE0lCjzfrHSCuRBBnHjPRZoixLTxacCtzF6YeJup
sLn3ZixTxD/gyX0VKOQq6bJ5crB/kHbggn4mV78HJ1JT6AIvFgwnX1uLm0m/60X7tW+Hazq5gUjN
j2oSgcyaqZLMHBvqAajxjE+hCl2wAbW7IWz9YPXhW0MFET41ZhEMtZgzhp0WgXNSGs4etN6EKuJG
zCk2TSx35dJFF5v9eXTK46RwZy4yWNSR+zk34B7b7o7M5aqd1a3n9DSHDp9Uvd6HbHwwUpx1luY8
/6ZSWdV2dW/0XucnS3s11QgecrqTR+06GS6hvXwEQ7Zq9O4W6v2hbQbKXNHiJ28OlkXf2Ha7NhRt
D6psCAT0W57CxsazuiNT3cZlOvW9GZhgrX7JQ6HDCutfDLwkPuOxsdec6E6ThoYoummLe/JcKh6W
BYCdvYwH1c5IqJOfy+oIoouSSNOL1UMOnu6MXNlk+Xyne+53eLSA6mosHAw+rauAWsOFPeKjnLv6
rnPcxynpY7+wcKlMheVRmajnzxlA7yCqh++p6I/xpD7lfYkEV51ij2tH3yb3aDHwDNvvVjRzHdLq
SzxNmyZdHjNNl+U72RNP4LUorVurhBUVHt5nxW4/Tc10HIsY5mVfOD5ecL/TgEJhJogn9gXOIGYn
xUFz3oeNRyaGgmUyeABss6chp8Ew0OBFbpSlG313cte5muyhRSIgjsUSUIPyzcSaFcxDNQX/y96Z
LEduZNv2X94cZXA0DuCZvUkgejIi2CabCYxkMtH3Pb7+LqeuqjKlqnqmuWZVkpiMjED4OX7O3mu3
xEd5y3IRTW5uaBfCdWiILQg7opZM8jEw76ENT09d7HBcshpcR2X8VCbGTUncBNsbmA8lYQ5R+2Ej
0mcrx9BkvrQSNaXB+dU4uAwLu3icZu1bNZUPWcwgYizMdZUxk3NZ9A4pClBrcVkXYdrJ+qS/bYAr
bmz4oXtLuVUlI1voBwJ0yW+qxY/p/4af5b/ZBRvK2PXL1N2RgkW3IQnm5raoeqSf2xPk88KakXxf
xH2+era3w03tM1vyvbeHu/ZUHuNN6Xf7+NrejetoX26jo40u6BTt/m5wvxpcmzf0Py9vXlhK/HnQ
oH7mp60NLSQkHOHh2gMt91N7i3EQaAGKRUyFX9mqP7W3jBksOt6v8ME/tLcmthL8hi7Dhq/JxV/Y
2rCj/tPz4zLOoGHlmmSwv/nDoIG9bFJkRjJdmAlwFMLzcILmoTOQficK9bHA7H4g9ji7GF2e37cK
CaLpgiN+CYQvmGGFGAY78mfMM5JynQhVHvXZSZh2cnPtFHIkqod3T0FISoUjSRWYxAvDyqcHc3yv
D8oHC35JoyNM6yCaDNgWLnlI/MyocCdUAGILAZBtQrJU1q0QjzlihH3GMQ8SHXo6nnTkySBOQKlM
CqoiFV4lU6AV1COvzDDGvYdRHZNt/FgrLEukAC2dQrVoSiMteAsusQD4Nemdt+e8V8cU6UddTrrf
WMG1wopLcGmBqhrm6nPJ6pSBDGk+6Diu+5oruUdnS6gUIjPwX2DmfTuqjnpvARII9Y0RDse00a5Q
UpICJE5lCSZc70osi5L+qkijV3uw6BEQSJdj+RRCjFCQvw1aMmQIYXzfWZRGDn25MgvG3TKElLMM
9V6T+acZAkqbCnmULPlX3VJAbbQT0kg0mxyFYARPby8vfNAJfsnqvtSCs8UMw13ivamSGazK/B7M
7Q141+E6dXHsNx1sn3p0z4AKSaINlrNd8pF21bTGCn+T5ua7YTZPy5h+aEFF1FME3zybLmTJw0ur
ULoLrN0rbTQOCGVsguXIdxhD7wJPrvONXJ32NKNTTpfqmIREiOilCpdbksHg6eI516ZFQ1iBRJfn
Y/IlWRPuxZz1xHxXh+F8cDryBtDPXbGXW3K/EYRIZnZDw+vYnxrtJ8ovC3jFTCXFDBUQoHTSh+w4
sEhcOcj+sLWLa8ghSCgVUzTQBUNk2413s51u3Bq1LlN6466B+OEPbsMmIUxZQ2EZxAo1I1ZkrwQy
bqvrVCaZLrzJcRsctLnF+mDTw418wX2dJxVCxF1WFKwKY+swuajrqjTXH4ooQAxrodspVRAlqUQr
1r752ghGf7H0gj198DnPxj4GXHVIbfuh6QLsTkXnowDyHcc7Wy17/RGKFJrTnnjATB40t7EuTjeT
es54xwfVIymH1v2QlqUfdPa1jrfU99gO+LpmHxsGakcxl1e1lYlDXcZ8Sh0RyOZzK4KLNoZb5jLT
1hrjXVc3McU0b1Dc4O0MZ0Ir6+w9yuytW1Z81fmaVMqbauT5Kznjx0m5VlPNcdeUSnGJlKc1UO7W
hFSjI6mBkILc4DzUGnQnT3IfIKCH5FCec1ac3JSn21m0bILYMhxrskXp4XHW6nVnEb9ZWrs5DPDd
KgduVRdXofLkzsqdC315OdaJ0HaW8u6WdXUrNa/ZLth6UZs8V1pu3hgJuCZOP9jLseX5Edsyjayi
UPmDJUbh2knCHy3WYS/ia3zrYCdevozFTJwwGf9dP38bEDHP+c/1856Rx2fz5wpq8VM/VVCLUTvj
lS+Pp0Fx/eeASJBcjn6ZdHJG+Yaa3fyue1BhgWoeT3b5/2r6fh/VMztyGKrrOjYBwXDJ+UsDIuZA
f6qgqnaD07Co5bRif+jABgMUbK1584WFQrvVtazYtGyGUtAvSP+vEFlPNrNYW2P4EhTVaRz7ex3Q
l+2mKHoalK5xpNvXUwHOGBMnUoDWOrJk0P1sNtutITrvjH6s3AOhq24NCyWBtDrtCiiHTSBD+ewt
6Ik0W/8o2CAijlpu87hM2dOX2Vqr1LcpdC4E8w5+UQ4KZeykflyOCKNcHN59DOO2yI3b1NSyw8A5
QqapvdGbyN5rzkS+uRm0B8EI38WQUNh+XKV3lnA/x7S+R/oKnQghc6NL7ZDAKD6GXsatv/Oqi94z
AzKMO49b7ypgnICac4QxjnJbbe2C0Tvp7ODQLVO8wuFWT5dveV89ekl9RXjQK4KqXVLlvNhlNHx8
D9eWrZYezGSWyv1OYUpRc6e17xrD1eyo4y0ba1/rOxAg8I48BOkpWwbm3CUubvB+Wn1CefKcxAqg
ZlYBKM682Yz2/L7ExlnEDf8HwX0chZlPpandm9Z0tXlHhghXtEilIDI392v0cK5oNk1V7gwOR50t
hQFYuFc32Wb5XFx2F7YzXBWTTXxY41BKWlQNRd9W7KNBgDbuWOEZ5bI/GtZTBcym1wgrqq1qM0wG
KvH5M3A4EI2KYhmEylb2o3fCcu2kdrHurKXcCr3LWBUbN0EzE9MoCcNDtwH/fnlza4KYBFEB0BRK
6TdUiRXU9MMAszhJyttez7ESS1oYN2N1XG9tklP8yKTNEhJ7cfhE7p5H89MSTthl60EDauxCMF65
LfrOOA3pEudF3ztZwf0ib3HRh8xz4tr7hiWV7gAdQt3Kq2B0GyQOLWA1O36DAhGSjli+ORM863bS
4nWrBcs+6JgckSqVbqrQQgxgUMlIVqxgyofWipSOeydweKZYQe8pLXD4aAh61RoEqkmIVbsAYOOK
m+MtOZcvhWooCtVagOW7zqWxhzqLaYfuYyraFjiCQZRARDSvalGkalZs1bYk9C8l6FgQ0yjQ6Wy4
yT0ldDoVHU9iEU4gQnotW+CBYZyBqv0MyUjfJKphYrk0XHv0UCa9VGLhlW6raG/SZY2Jd56M4j5W
7VdOH5ahNKe3oDVzVZNWhazzukC+tGWNTpFOjnnMZ6J6u9kIdkvPCgM5n8RPp4YjtIKl6gnNMM42
WpU+FbSLIGFnYjGtt0ZPXsknBhmjestKdZms7k89bSfZ41eCNtT1cn2jT/ZG0qAGqlNFpOMDayUz
lCYWryQrt/K6bIi5Gx3Kb0TD2y3QNVLVAw+qG26/+mLBg4dWxboYaelq61qREf8ui79dK6ki/7ks
PnxGb/9ub2LzUz+VRdAx3BKpcBSyXxLjVIwKnBr8wEwEFFvm97LImtqyUafjN3Md8oLMf22wTe8f
7BqBJbDhVkCav0ZztgUbmF8HE8qMJ9TvQg6PVP8PF0tCb00942VcBi9K23Vigq6zdSxJhXbssxCR
NPhPW3HXg6E/gDsVKyYyciMG79jZqfQr0xTbMJkfXK1EYpHwOBYizrgw5Zukrz5CY+KRZc07od2Q
Za+tTa3/1roAiGeMaTvZSJCP1oysbHLWsjZMv3KG5kQhJ4U8NKLt5Ij3joQ2najHfTUWfK8TOHpE
LKUEqvV3s5hugbfL2xqXMcK10V2zqYakxZ57lXmIPsLeYyzrcVjmvCp3SmHn9Rqx1k6wSVQyl9vH
3wWmNmqeCiPtimTg5sMAFqkTFDMT3mwaFOISGAkNe1/wzyCB7R1MXquKX7+oXKgGYAK/hXvLolKj
GlPh5c3xROTjJSFYaiJgqmuoaWBM3rqM7CmpUqjKbrCBwSd3pd36qSyvBk1nICqJK6YAzrslEtBc
CLZye4b+zVfWlas9VoRfeYRgkXPjHux6uWnGdF4zQHhCtPZREpxVM5HCzhgdhWvfAJN4CAeuUyNt
wIAzsCF8SyeEy8ZivMZyLbleWw5qsPI5GbMj7rqXKSHDaybMa1KpXn3nbWNivuzC+6xU7pewWH8k
KguskLwtQ8aI2VRhYXGMxzBVAWIGSWIuiWLo7nI8RAxowXBPEH4JHstVBNnStk9yaF9cSVwKgbWb
NIyBVoSASwn3+VaaWCdzFWo2uTJct+SclXz02VeGRjxgO4dmgTAcsbwfWv1NpUI3dBW/QcP2YVXd
M/ya78TjWtvAFN8rFdkRqfCOIjCYgBPnERbOsJUq4mOpW6LleFx3vU6qp/6VBRKrWJDKMg+aCgoJ
4Tf5plvyRSBFZMbFZJEqYip9toevciOSNl33knTCAv4+kXC5z3e/8isVURKTpSajAMU7yT9ERPAd
CSbIgoMKNwkEkc0q7mSch104sMuI3OlikohikIzC/PsiUxe+arztjQM6wmA8efyZrdXdV9ghfDk7
1HP55Hj5hfgbSoKZzOuARJYUwJ6uElqK7tlRkS3lRN0sk8rbtI7X+CVIjlWXFNsyrU6GQXiYlj+2
ZMCkdXjdsZzYC9JhYoMRNmkxZA7jxVcBMs00XfLMWI6unr1EhM3YEsmG1EfnwGTg2vDyc0wwTaYS
atABGwhJU9ylKr8mhFxCWq+IDz3hNgYhN0jDXjKVeuOyaVtJgnAsx37qm/ZiqIScKC299aRSc2zs
YetGJelQ7lDV9t0utLiEenJh/wBOa5TBE67Tgkk+ljo4hhw9/BxrJkZgNEkVIT7B0nzWBak+TI6V
3tfYQ1Za/Ehl/3i8rf5AHJBBLFA3sq0yVVIQy1drnQ6N3KfECNmw/ixiheIowjmhkoYyIod0oocW
aT4ECgzdqFSiuss0fCjiDpoE6gnCTkKzuDVUlhFbhB/S63edSjmqCzfYGO1w26DkDAhCGqKWKYhK
RsKbEquspMDJbzPCkyYn1o4RcUqxylXSu+koCVoaQhIgkXLbiiec+bIY002mkpkWPTotKqsJDOi0
1prsR7gED1BqED4KxQtQGU9TlHxvKmZpJeIkXeVAAdiilUdfRWqetuw74qIcFWix1MvtjDx5QyAx
4mMvvJ/wRfQqbIrQKc/LB1BczRFfF220iEK/VhlVJutRP5PYRPCfPOcEWXWh/ka/GQOjIuPKxQ5F
M/RoEH61gKtUCpyNNVjbhngsRnFXMXFZCYG3+4WHCAWKjFc2oVqzIz4WQrbskDN7UpZg4rdq0Xwy
1j91xHItxPc4Md/Odu59i+Cu0i3WQcpAY0IEHKS0xkR86SFhpAMPgc55pDLA0OG4azbwmT/NzgNm
pNNi2Z9px0EZm7IkL9jZ8+WeGOHFJ2GOzWpqvUvjkf9hWCP7GcZbboYfylHRGYOhMTBqbnGGsJMi
o3Knz+EbtbPZlHHUE56JAlFn9HtxXQTIiJOMXdM2z3Eq7m3CIX3gZ4/C6V6IxAtWDecC8DYeDfyR
ghNEEB7mvpuBO+0aZie8vvcmqYk1cMvvbbDQiiZiWJNHupwhWtrroKpvqHks+vl3YxVddR77t25A
LlFpJW7Z/nugmGC6U383ceQniQeuVgtYWgKmEBUbR4uZ0tYrvWEdAidbBQkOaL5ltR+49jlydL5l
VUyOWFxuyz7czza8M4dzEhQGEWrF/Vwu0S7WktfUqT5s+mYzyvNdEKQ7+gg+g2C4Fza473pg87to
zqHqlFW3QK+f0RphAYBjJDXRXjAIrMM5/5HqaenjBL5MDk6eVguvdfKf2ShVP1ytIH3H8l5GZZ3X
6hw5aSGhn9g26zztWa/74LYBrMlp3nrByUJHEMWWTTg9aviD3qVefS6zrGQ33cR6CCAFFchCeoxX
R9d/99G/9dG0lf+lj+6x1Xz+ebxk81O/99FAdzx4POiMDE7Xr4749/GSIEQZcoVLWp8CTv+kBDXl
P9AXAeNhe/N7UiF6iS76f//HtP+hIJDombCnmoLR1F9Rgv55vMQv9gTjHkw/TFWwm/y64AuDWq+B
4vXnJcOOwh73FVFbpPQlzop59npusicC3oCtlsEpZrCwtsVIIGkx3ORteXA81jot8kXW6jX37fiK
MKDT7ABkRB5yz/D6+0AoFh7oASyAhrUrGI0TwamQyHQZ+nlbXYpJf+JsfDVa69mrSeh1I4++R63I
PW3ZZpamsSuIsMDjRydtFGt3lXzDWPNazeXjEMVQnztGH4GU3xoCQIqpeOo87Sko5qtIOihY49OQ
RtddGb+2pZuDrHJuGtP+yFABbHL+YrjU4MsYRnnsRfmSz/oMjcskULEjcajOxj193+NsVM2GTJet
ZeGTMxKGuYytM6DS7vc6wjPvZvK67bKHsVhS34UvbKfuXRl737nE3sS2ioUmyhH9Z9JtghE5aDVA
giw+GFC8BLVxYbv/geoM5VXahJu+GDmtnfwmrEgBIOzaSsLXzIBqUGVutR4lQpuxKj9G4ZHjxCot
nzFBVoa5rGdgtlu+7I2PlPiaRcaxtoLrIkRfS0XazrhF9WZklObtQ8O+A6P7I7aSTydvHsw4JJNv
ec7DBSO+0qzyIXl6Y9N/o8Ix9KTGbFVLArbbU+RNP7LEK9cBLqJSD3S/bxB7YcN/skL7zupAj7tx
+mCFxo/ekANSFPXjdt9vwaE95yg52pI9Pp7qbd/1MdP7LuGylb1gyk23RtWfjcjWmQgxn6lFZ690
eJNySbe6U7EUcfVd3UUIA9IKQUHFp4YDYPQNW0JFoIOqF3crwZ7vgra6ioO8Pi55Gq6bBFoHWqw7
J2NtXdjbvrZqNuyBy5/ELYjmhM370iYs23nibDSpvrvwEM8tn2FuVOFmbJb7Mmz4rYWLsG3YBnp/
v7jmMR7xbjgGt6q2DhALZHgUhj79QKXz7MKvZ5JWveuiJJe3DPxmZHQ56vEeFRdwZC3a64WWrDUH
16eulzuJukToBP60uubtSQaZWV24n3lSXxORNsCpSKpN43UHGc7z2uiHYhPm02NZ2zhvMb7wNOYr
aXbvLRdJX28E4pgFE0yOWOjKKlLaMqA64SEzvMhcp+n4ZLhpM2warY3ib7wNQcde1sHcKmPb3Mog
14sHp89AzVtdtZhgubM28uH5OTcUyVjezHUc3Zj1FL7EKMvajEdopSBN56pFlYVtjKYJSSMigcih
C4tqXSOqxJ5u9Uwjlb2OSaJwAHSyucnQYrhQxg+9owdMguLpi2tlZjnzSxPzX4ZJSU41JC7TeE5H
Lj+nrKh6zpksEutJOh96CPSbu+nckJo+BqUHJiW17HpDzK8TPuidk7UvRjCEpNKZixGBKs1l8Jra
cWSddAO5F/fwqa/+tk78hlFQ8oP/Vi7LrM+Lf1cw+bl/FkxPZSoIQE8sPX5L4v29YMKIIrsBSLJj
sGD5pWC6RI8h5dWF8TV2Uluc3wsm2WPsaiiaLGq+TBR/pWBKJbb4afD0JdhltYOj1cCLobY/vxZM
Mdg8FmWeXxY7OoJ0RgtJFvzEd2kpkhIMN3mCSZCdrCpLt7YJ+7sXu7jqLlGP/g5PHvASwmw1vzfF
cWyrt7S3XoIWq2jRnaZFXIeetV8i2VBYytmPnPAFAsEtqXvpRub5G5Jk6VvRzNUq48lc+B6wq8FI
laUUCTfviqfSjK56ZrLXBaI2N1KKTKW1X9C2Nl76LgnHMwPB7Zy8AfbCq8pLnkcxqEhSmnkb9o3R
Y61P4QVdiJL9LsuSpGLGD7ByHOnHQyoOxBded51zMIP8wZynT8SDp9bylAjtgVlASTZAuEN8cCVt
zolykBe7dI5Zl9EpRPajqWlrwJ+vYyS37cBB2kA6Xo2ee2N5DY58DLljek5G5teaCPzexsYF7A/0
UqM9sSNm/MQEX7eTazYSExFo8xUjF2q/ncFOTxexjaSXb7XEe52oofbQX1vk956r+ha76zZH1Mst
7OLYiHDNiVEcirsEToOJ3ssUuHUz7XmwgieuklvZ93QizOKZt+fv8dw/VpoOPnmBKySm5DwPvHVE
WdzqU4BiLJX5t9o6yLl1u1Xnwj5msDWcQx2GF2peSMhy9Od+uI+IM+d/k/SELHHd1cW3npcRgJL2
01ibVihJdnas8964wi9J3awHPock0TjhdDdbl7NLLORs3sUu4ahj8N2qqYqxlA9WKe80Rrc+qUfX
Xk6D09tORMgxAxZu5XcaKmYbDyVsDFTTU508uEHx4ZIdWgQ5jrH0e1I030KPDkwaNktr/lL7KhAj
GB2qJFfy0OemvTUtrHmxgwa8jFPM/z32CwXVSlHVDvvUIHi96CdiOUkhdm27WlsSuTbF+7ks842H
BlZlF0S0WG3sM8oAJzAJSANtMyHHRVG3TAgNYJtWJ9xzj/WS3gVV7/qWnjAKipGZY4V0oVUwNc2a
8koHzsBMJkWM2j7H0rmGcXJXDGXsOzGsRE0syy4vEhR3QUMs7lzwZJrGa1XU9+7AB2+P4Xq2l7Pe
B9+DQRNrc7ABfLl3/RjsR5OJrAiCg0PHx9qSezRp4tuJ1affMINcGWGK9GKkC0tqaFraMr/hE299
kAohTnN+utOaYzdoaz1lED07eMEzLMZcDnYAn/LNnN5pZFAh8iUZdHnT0vmtG+RDOA0PaYb7cHJv
4MUxSAgXC30n3Ccz1r5h1imwPzqbaOm20TzII/JMOkHVLyFwD0Hxzm98rvORRd2mrFCYwAs214Zm
fRpTe8p07YQuqdiA3Co2bNHe8B3v56qzfWbhMx8X2yaMLs5qbrBbG/V4nztjyQauE7sAuLhCWvN6
hqxYjz1PIP/8h5HRKs12FqxSS82pM+2u7vXPNueRsGQeH0vHeaya+txmWFwJ3vmsKgjdpMO0ySRJ
zM6sDQ0w+lfB5FNfmutAgABH1IFtdXGv6oK/NANDDOFd8WIRmLUt0Vqtw9glFGcADwkHZx+QS7Mv
xfxWS8gtHkejlRIqDXPKj6jwSxddWgK4afGAk8+xeU/G24hrs7ypW30H8v6hWjgrS3EvwppJ4MIm
Ti+dN9RlJA5GR4O/3HqMdbmy9f6RIA/hE2RYb7IExU9j81CnbfAyyOWl6eq7qLXCfZhpLFJFr+B2
6crq+vvKJbCnSfl8TY3Fr9mM/ugEBGHnzTuGJI4KIGmRd+Gg24V1hKvYah/ggn1Lje6pqUGiZWn/
ZHksTIUxirWuG9EV3StqcjeyfUIuFUcHUxZgt0PTJveFNHdLBSYwSMXLmMJ99tjT2pmX+K6HwNus
JI2d8W2Qt2N7XILnMb6yIvO2oHnHS/gtYdAamzkfTdHtyFc5GxVc8yoT7V5P5KfgoN+IybsZYslX
20JmrtlzRue7xJvMYUweW9a69MbrtsruBqaYzpRx/CJ6WmZxj5vqKioZp8Rh/4TQKFnpdXesuzN5
kKvOBpATImoGoxOvs9KLd0bdIIZr4icxLzsIEcl1oXH8E9h28mZH2+LPT7dmNyWrRZgma1OXTyvI
N2MVHuHkan4rXfICRBl6NSlzLIGZP366cR6dxqJDu4ah3HaekpJEd1LWlD25XuaziPTYj1o+Z1bV
ch+67KdJ9y45v44B0r+LMBuCxBemkEHbWQfCQs4o8l33rbdmliMT/IqocusNxSPB5Bduc1ucjMo+
cBodJRfu1LVwp3ca6faNZX6LnYoTYqjDldVq+6i2zpbVhvsi0j/RrX3iT3+n5EBMiKb9rGvr3HXW
Bph+s+M1gsYv1+mUfUxxWrCdihAUJIjFA+bERSifoykfdrPoks3IzKuGnYQLeUHJrimjiLwKebOr
dxLQhRXckTy815DewXXhcl2RBB33ufCJlH7k7aeKi+wT5/dxMEJnWwE0bFq5S1xW4zaGuy3Xfa5S
ja6i/tDai3p8LrqJBOrs3rbmtczsRzKjuEkkMPiXFP2Z3DYxzAC+JwAdpq3oKsKBrA8O15sOdL5P
5h87J1nfkSW15YATu9Fi6e0JYAMRikVnwbYiO6wLSX5hpAmHIogA7XnpvGmmjudh5G4cySVifUW8
zwRur5LEBMal8baQhAd7AaMo7GI0LfJMk/vcNNX15GSOX+baRqD0skf3hdKyHUY0ffVwxTd37xiw
iZhcqJ2XilLPTqOg1KbiOg66qyArn5gWPoMtoUYUzlNrTKeS2w8wTpyjiQZm1LPDb4wjClKCssMS
HxurOU1huK1Gg4VN7N5GdkWN1uRjXw2nZSJGsYjfM8s+1inpsK05Xw+T2+/nZmblNMlTLtzClzkH
oYb1xY7BBdnWPi2N61FfrvrGNBEXYkGT8J2SMc9vTEwRZIG5GmJLks+HyMKprm6To2XgaMqL2a9a
B8Hc0uxbFmFIdZJ3Z6SHcaf+xqlwt3vNUO5Cr22v8xrOVm2O+MAQrSDqINAi0HZePib0nEHHl8vO
2LA+yE474jbOdzIqDx7dFmz4ykwAypNLGa/+nl7+Nr1kM/+fr2PfgOD1/44KZPNj/7yNudyeDAP1
ti7A8/4sA/gaX3pA7WwCEn7j5P2ujrP+QfgYekxoQV8uyZ9kAOY/KOYGVzhTMfHU9ekv6Mt/vYth
Y/ccpqrqmugIbFVK1vezO2HSgds3TcHwUs3p+MrDT1jFTPh+el/+jQtC6H9SG3hsL1zLEia6B0O3
1Av5yaUpsm6oZWJVdIa295hGNWvn3MnmZY9AARGW2RW9dWjZW9wDkiCHQApItS53t6pM3GMTzt6V
cJRf2mns6SaiaTfnkluSnEOnvRrSpDVfB+Zq7s0Y1MOwTQSipYE8JqS/WnYZyZwTm7iqSmNTjlk/
+K4WkrKAIrhg4TJ7G2Uc1ddt8WFn1nh2uH1eiHSuMl9U2Hi2ZTCZxJCytclakv5YLpXmRR+EnV4P
WXJpunTE0IVWPfJuTKF/2m31vaAoYc1+cJAKFaO5szWJIE3nb6FVMWaYYOvlG3vKD8EM1tVMcwRX
jVhnc/0jcqM7EHNnYVQ/enO4J5uWigtU6MVJcZ17UHpOmlM1sGhsecxiwljAnW4wPLW0q5r5w0ra
Ym8F8DmLrq42+YDGmjuZjSXePeEYO7cFCB82SOxy6J13XeE8zkJ7zgycsWUS4VHsutBwoOgRTxC2
FHxm4/HGtdQfASdEpLJ5bKyOBGzpFtFdGw7apidtZeNNOmBxbKq8iwYqpzaFYmppzbxO7OWuhm5+
jDToxv/9GTP4kv00V/h6liFFkG5sM/hXy4JfH7F6buowRFN9pgC9sZoT91D8Vji78NcU+0CskI9v
wCpsSE5a2Udra24g2fjp/+dZ/4o8/pfjx7X4qpP1xEbCVrsH6tmvr8OeQM9Bsy3PtPbHOQOfnoZ1
wL2GbsR1Um9TD4Gi/Unmi0QHnkKnCY6Cz0imdY4zYz574O9XrrG8dlPpbVsDLFXXVdvAXV4dm9TI
JNCwMC/TU51VDkP9mpzUFkQTu02D2w/bZjuaNrPp7cDa+kkAe5awdGJ4vP1iolQxjJ1l2TCUSVRj
lo9hNi/2yURPaVpcC/VqM47htREAQkgBE69xa5D/k0DOGurzyL51V4fKkmiGjyG6V2HmJ65WuoIh
7/SUB83xamtLMuT9f/+Ifz1EeGcxeuPEkZyXzI9M7w+HiLcYo1flQXPWhzzZcRCAMWuo7Vocbewy
tlZWHb7991/5ZR//5dP8w+/8w6epTZAyBpLfz3VovoDh90H9sF1vnb2V96D3AgS7kmmKA4XQzkAi
21YxXy8N4dGuZl+Xsfusxy3K4Vb7weiUdq4+GaW81YPlww7r13yMa8i+dfU3Lv9/R6R8Av+5Jr/0
73zCFOZf6LQEBf2zIEOWQUIHrgBewG9UvZ/l6jxXOpB8JqGsB9lC/l6QPao47jA2igb/CfyZf41H
Xbj7rik8/tVXvO1fwvRB3//jMcbhBQlQbS9VMjiw218qZdZB8QaMpF86pOPoWeydRPl9ZWg93awr
KuLO+M5hnUW1mgbttoSr5HdI0pvSLjA+oqXBLmFfN0q5joUDDfsodwOi9sydqlOzaH41oDPr3A8B
63Nt5CPEahhUixwPXuBuuSfpaziUu75lpV54Sss0Wo9j0eytOCoeOGVhqVfVB2k20L2qx0aQCm3l
JqU2rD+y2UvXZWshxBnH/VRNkx8CzC5uddPdicSybjQT5bEcvU036oGfj1qw1kSDUCTj0hJ0b04f
fgS5O24xgZG8QyjJwS28fEXi7R2UquzG64CM5hLUXmayWAsIwVwHoO19JCtQXIKZyayF/Nszv7ex
pMWvz24XcyWJ0ufYMB+60qvWWmJ8VimatGAJHxsWPzE2lV5ysuJe2+N7/c7utVglUbRPvem20GGh
SIMrSniVLN6DANG+she4BY2hP1QOl8GFD6GLUIRnQUB4SEfaSN+SOO60z1BsOC8rDKk1u7XR0m+Q
iYh1FMS3sQfTU8tHdzzOs974oKx/6A3WNFmcMYBdDXMZHsykveulh97EZpy5NHnrOxIhMvo3lELZ
2lngXECS7Ws+MMNpVh6RUOneRSS8iYvWvXhGNe8yKL4rbssHMLYeqKzm06gxHHiLE95qfcqAO7Y/
PCLfzvVs/MjIYUP5IAmgA+7lnbkkhqSvNDgXUjtEMc6YsGBfdAxJKECnz34scy+wABGlSabl4Vz+
QMPFxECwFm6MMxgXcKmgAAlNoc6IHqyisLVdMg2UING/yir6lqbwB5senZwRsREwoC62BF+hs0Jp
CNThmxOD1wjK95zLT098ztEqtFvhVj8Y6W/6CBEfHFu/oDvxdbIXDjKrD5XMj1Nnb6zQvMwivbA8
VaEmHiyhMnnSx+DRzkleRfFR+pHmPDZdaPOyjeugop/SXMbX6JkU01y/y+fuqOO2qtPkLo7Djeyz
l1Fv3kleLMHIAvSf2+HsNmm/hhGoymlxwkqiUxi0I1JJayd1xZkk7X4NNOJar8UHtd5ct938VJkG
6ChRbatWDf27pV7P03BIg0WHaqGfx2x8j5QnQip3RCHjGpVA9WxiW/EwUEiMFIlyVLhYKzp93DoN
OgFNuS4I1iuJDuyvJuXImJU3o5jt750CaNQGeYXYN+qgMbCP4OhgSrojiubVxeqBC/RRYP0QWnvL
60PxY9krD3NIo1wivOB1uAzj2sNA4ionSb/od61nvs7KYwKqKQP2jO+EYax2YAZEuDOmlAFzigUA
KsKs4irXSpX/D3vntdtIkqXhV2nsfQrpzcUuMLSiTMmWUd0kWJIqvff59PuFKHXLsFTTQwHLBZpz
MZhhKZMZGRHnxDm/0RGL0AWXxRWsllHwWxLOxaVLOyUU3JcEEkwoU0ywoQ/Rzq6waMzgyiSCNTPY
8GeolwC4FSh8wa1BPhS8l9dfhKqMrosh39qCifMQXv5RxRVoml/H2StsAE+aoPrj7EdQ5Vs41uLP
/zwDOwe6OGeCNAeswynwBUNMg1ZEGHSA+CB0+1fIBafD4Rh4OoFBRg+ev3rqSOoo41r8mYxlKwyy
v6mM+zrgcoa2wWFCD+OIjjz9y4BbqppREfK9M4/WWqUeB7r/myMBwnUv7iEyV/jgXIisQ8FTTFQB
nh9/EyWTESgd+k9eZK3wokLBQ1XDcmEl/Wmv9WY3s9KhWmJlECI2nSM4pNS2caXWCKbjAuWYp7CU
nGqVAjc6BVNhF1MUxs3i1DQluZ/rVYPaiJwr2MVX6OhmeSfnhxHgOpAI4CV7TAiXZeap846D9RKr
BUxPsi5camYOLbY1z0Mr9ZY5rNdZAywDjJ4Xq3OvzEJpmSbdmF2l5ej/TPAUXGhK4CKwawOpmDvx
oKuQlmP+11zJdYzrfT2RtSsISrhoU7ssLuqeXxEUIxVlBR3P3v+m5Qp6Fj6tgJieZeREK60tlq1l
nnSNqUysWvqEntwXI9KuC6e6KqPxxEvbLybFMjpGQByjQD8pSn3u6cWJ7xPPPC9akUKAMO7NY8qn
E+yGbHpAQC4DyvMyMNExG45KQ77JwxDZ4hiZEzkrzsrADA9RAD5pevmHb0YAnnLNmupwlum5KPcQ
tIBwOc58wCR+UjtApTyd0n3d92gZae54XAz5cUsNrk+iwxoJ1GUCyxm46Ejag/pMF5wmnaHNXU0v
Jvj8YOJbrly0O8hKsBRBuWLmSRFeN/QYvUpZpVVP5uInV1lZH/sagGFpkM3boaXGOZReNyVBXfQ5
U7VXwMriCkl8SlGidVd9XgDuTKkIh+CGI0zEIHNTu/ZCQxSGaaP2OoChNIVt5joqNEIdf6+hPi0o
UwMiKVdt1A/oPMv3utncKYlhLzGuT2gMJyjX+aA6LvLUTmZKrwcGsQ4Wk4W2oAPQeVnZ8i0yPitU
aD/VivW5xnws9oGd2EMJZgTFT005GRP7ok3ThYMGQFiixksXPzG76LCL1aVNVWFWaAw8tdzDSm6/
ohGYTXJyDctxvqNWcJrJAOWDsj8yYvl85KKtgi86IjWjriybXFqrlXIvSf0q08cTzQWcbH3p3e+Z
PR5ZCVgmA1hxaRn0QakGtP0PgEXYnSFSqyfRiQHSnZKQMtXUyCTHcW5iT73REPqelYj/Ojr6xJ1+
hkLfkOj0gkdkbA3IeZYvXdt99VmP2nnvRf3M8GmvtLk6kQMUm5HPPkbxcEWLjNDZKl9yyb9GuOiz
lGcTENoLYZsES/GocKSjvgeKXIUm5GhnGZsxLitWNaN/1qz0Rq8v9S484vmOjVD+ThOOZoUWo4Gd
YYOrann4KdH76LCXEvUm62zrW2VnCIj1w+B+Tmo3uuxdq8JBK1bmeumW4HRrEDsSSsJhXENGrAfy
HFWSZx3LArUhI/jU6AKmHpetW02bHH3XmQe0ErkdR7gDFa79YzRtD7Uj84uEUc28rUycrfDiRbYA
RX7dqZjMmnBObuJjGq3eVADmahnPB63oipnX5vZEUUKEF4arJKeIFiLSitdP5S0iR/9mmlchb35W
NLRxrL5Kj2wtNk/d3GewR+oS8GZ+6B6NBbMYfJacwzsyrmUvJ28MB4DFg3cSJujFDpF7EdXZj6Z3
KImEMztUQYBI8pVLVq9p+XcEPbFSDQ/bsP5pld1ZbIwh0DQSUK2Lb9SwARFhfcc9DGgVOkG6IiCY
XZijHgb1NhTiiK4xG1DqDOklh4V6h6xZj/2UMQvT9qbV3KUB6Isku/lOQ2uRl7zmiFOOa31V0uqL
0eBHhs4w+lDhVR8PJ6nTHdYFesxSF371/GEVdCzRvj9tUQf1Ejqccmxe1vV4Bo/ypveNT1moo0fc
AgbFHLlDXMYa20WrY3TVc7LgbcxTM/qOghRKiqG51EOg0H2Ma1ltByuv6jFW1NJsGhrmlTLy1qpY
wSswta6LNjiqNbOeVoF8QyTAvAsGsxSk53gD1YdZ6H01BvSBNbk8NBD6EX0oqelPtZSnR0D3xG6s
wzLyjuip3zg5WnpjNs3t6Az918MowYuQAiPIwGgtQVQEq3LYxIAZQGivwWEfMdazYOxhe6jOkd4M
F1Uu8zP16iiUJZwXzO+unK9aeqR63V65ujWjqDwuqh4CbwKeTtb7nzCDDXyL0u8yyNSJCoDfMWKk
5YrrJMWwI0qzw9ajUAv9cjiBzT4LVfUEkaXvpgsuogQrALy1RsYJrlem69055QBqPKWnzSO7/JbK
vreQZPsMsjGs4bQojivEo3BS7JOFYZq3FF9xOZcBnnc5FhYhEinzQcbYVtOD+A5oHt1GLfE5HQ7q
aedX7s9n+dmWGvzLUr9IQRwk3FS0GkEkYuxHpvU8BVEiQyGTd6VPYfjZjL5Ezg/d2IgM/VLs6He3
EBXaZ0X+gVlsRg23kGmWgxtu8rM+PH//MUT542U9TjyGSeeCxomJ/OTLe8BTGpBrDLwzuSPKw5uv
T/r+GjDU+7cRjY/Xt6GOjGaAZsLTfOhnPHsULwsHzYpa76xJxnmB7GEFQlsqPjf6ecd53axgIBtH
D/f85yghaly/Pkr8iyb1Nkyj+KtnJwhDvAqaR6h8PhwTnmEaZQ4XfJBweumtQWUOTKMmI0xBF+mh
nvd0gsD3UkWxFHgaxrxCvuLvdNHol72YLvQebJVuHT/QVviduGa+nJVeCfMw1Oz4TFKKGy/AxHts
4h/KYKxihaQ1RICsKpu5ZUBSbK3FiMykM1BLtxOseYTFWhIQTRoPfKHVqAuIuAtQdldd0Kpz2xL0
b284kWt3ZkpEx0CpvwS2mk9jReC/CnhrUnkYR9UazXpvgvP4HYZKIEokXLs9oz/u7fYuauDpUIcY
ZhzE5uYA91QZUMOTGymelQkGr6qN1qXVILqkk3IiGJkOizSD/ofx7Ax95eMGsDMUzfobxrDg9NLh
LpPNIyqjOcKJ+C14LaoaCQwzg+RoklrO+egoX1sKbJMQGDuWQPjoxBYpa2iGwXT0yJES6jgTy0U3
r16gEeFSaKkwkuj6L6PvneIaeZxDMPN5pkk2gC1PEKzogmjWejTEolQ9dRX12sUkZ9ECK5ggo0Xa
UWHOmQuQGQDUw0QjJOMe9ZU+ozQ14WA13tTAjdi7qtUw/y4X3ZcB3e7jGne7XMMbKgYSKiBo31G9
WAVptEzyDuB3g3i03pFHNxp9Ft+1T31P/aIVlRDp6M4kUzfnVK/GmWrgjDE6AXD40pGWUtZcapJ/
B5grW3ao7ClNFB1n5rru17kzLPTcXAPIzpZNKS/jBjJqiZBe9sVR/PQqlpG3vQ+88a7raQlqMF+t
Js8Alz5gYUqcQV3mN3SlVD7saxV7l9J1znT0xY8Gx53qTiNwYCYEZIEEegDd6M7wSQtHwAKBAOXE
oHO6lCOogOxoYHeKUZDiHvA85QO255997gEuIJpHv97nTrO77PZtb0L80bNtjkoBipAmRl+C7PSi
UEL7QdUISYQ9VSO2PvYmdER2qIbQYBeueQhi/Vkn4Rs6Ezpee1RXBBL8b+1y7InPYyKbHO17oUqg
KHTwKbq82uSKrNBr2w/986IJSdvIXXGKMKwzRQ18OmCe5ErjPMqzziwhk4wyMhSBhWMX9hM1oqxy
otRXnal4zk/8Jg9LiePzmpJDiEZvl8a0ODS9ohPqh4My90YceM+Rf2ROTgrdxz1DaaDpUxg0xhgi
OIw9KvoWWiIeGsuwi8ExkvcMk3Jo8IIIqTj4h1bX0HqLcSzi7Eu/8LBgQYao6eANaRZdXFKfFNLz
jQY8c+4hzG8C7TRnMqoF0r0R4Hr0z9TfTH3m43tTP91SIhQd/D9nvnVAXBdxXNUd+WF6PwV4YDII
VRhgRhTivyJ6eU9dOZSiFLIB1gRSbRo6jX9Ofc06ADhDVY923aO+1N+AyWgOK+9ZPigCPJZZRHdy
QZNG34MfxLN8sBo5yzdGY36Cxz2eFCSoeTXJbFCEM4koMQryaqO24G5NP6Zih2D+6SAnVTNvghDO
eo2HwiliE3JSA3PmHngdyYOkz1Hj1UMHWlxKYVsb8YGD0FSH+Ml0TSLh4IvbAUY4kSU5+arSS4Fp
gyLRXzShpU6oPWTewhKBrYG0p2J/OEU65BA0h9A0IgzS4AH/HpQP2UW1cBv5OiRqlqkZowwUztxB
vkxFYFWo6kzQoznOs+Q4LdwThRg80LOa0DoAvpAnVFhWsQjXgwjcFM6AWIpgHqMjB2iIAN+IUN/2
49eE2K/IoGWQZYSrT1qQiwRBFqlCl4DnIXdQRRIRNO23WqQVCvlFEsicFsk4IPINi85szakp0hEX
71esBsZ+FtVmPJNF2jIYdP6QV5nLRgOwRCQ3HVmOpPfoDAUeRDp69Ymr3PV9nkF/qBahXBwGIllK
yJpCkT6hJ/WlMehvhgVY2obGUysSLoSMrqiaLgqRirkRLUop4ahfuvlKRxx80uvZp1DNLouim7oW
xDiyO79HJre1CypixZxaxw99QL6p9NsZ+tYoZESz2NelaQtmVgdKUwoQLW4YHEQFsLaMs2hhC7At
ogmniYDfRgKIC5Z8SW3za5OmsLAEWFcTsF3J9M7ZzoKJjiiyUtRHbUOZr5DLr57A/Y6RcTwABK69
fm72IIPDXjmM0vCSIuoJNLRZJDDEpkATuwJXnAuEcQmicyoDOsZPzaKyo91nAo+sCGSyAUTZEFhl
n8pnqkWf8cD7AodukuXFmeTn+dQSsGf9AQANEjqMky8dqoKAX2iZaTeywEpboUEXOr7qI4Mytjgg
ukCxwTmBsBZY61GgrvMc/JMmkNh+131NiYccw+uvPWBtBdC2XlFz9IBxp8C5w8rAD5gcz6h/wP6G
MJh23bSxIrJRwOCZQIVrwMPdkKZwJhDj2eBR5QBDXgAmbwCVR7b3vRAoc7DTGC4L5HnY6gr0iOZz
K1DpisCnZwDVJSk7ki1nnT4g2AWWXQXUTgN/EQiQO2B3ScvOYSJ24LC1K06U9sz25YS4I33C++SU
rro01QDP90H8NdCRTE2B1cMS7Q8jgPaNQNxLPtj7VKDwNYHHrwHmhwKhP1QB+ikCte/Ig02nTV56
AtEfYAGeCIy/K9D+wmsBJGu3iKvhTIEQUApmQAZFIIcqAFLFP0KDOZ6bSn8fBc4lIljoktBHhEQB
16Aah58duJpJK3gIrqfqU9W2sGQVLIVY8BWgS12ZbsTUkTVBbkIVMssD8Kj4gOK9RZ/c69emDxGi
NtN0jlbqaWMUpwo0iajuNfRHYuRtooEJVXMGkuSfZacf4wt1iEcCqmC0J0y/WFla1E3zXqHoUrQL
TL5a2FTmpd6r+sqrOTCNIVuJooanVKCPBhQFhjo85nR2QUn5OInDlV8XV65f/Kx7p5qlXXkCQ/mM
tsp1TvqCaifUL6o15rHDvsjeSBuavuycY1a3DKPsawprGcgDMIYYnTbD7VCd80gwgrb74lR1M2ky
iTWd5lw8iG56rdZYjv0iahqZPqqWTZ1eTRbRgJZId9+VAz5dBnrT6aBDp05u+oERVRwAGVS8526b
fSmFQL9WSV9U5CZ8D97JEFm04zVjJVcZLXn9O+DEn63CZMhT8zoveWEdYMuZEXNeUby0WBRQSNsw
mnsw0yaS18G8jNtPhhRd8qjwSvyzMdH1haHjvuW1EnCF2DqxCO4IzsirJosCDCvsfqV39J1y9xv0
UnpGcXCfdGiMIZvfT5RuTA+rqP1MkXCcmlYPJ7QvW/RS/8mSNlkSKfU7WdJ9ygkh2Joq8YdPqRIe
2rhvAFAi6xEOKnz1lCqp+gHoWgQ3UUqQdRWTq6dUCWExaCtUzZzN6UG0Z/+qhVgGYl/goRTV+Dt1
ENqZL9Ikwe00yOJIxmxMUC1HEWnUszTJoo1gJ6onnQG3JyEHmSTr473boeIRGTEeD5g9GBCSygf7
BznIy0tHeEKoVou+Il7SeEV4nrCNcJRBmzWVUn51H2wlDAkyICpKwhNw0JdhQWuoUm0YPRX1VoiT
+hLFJQAyZWcvqab28zaXnEWpqN9oRcq3XhFjuKv2+SLz8SPqED6lPwjvEFGDfq5ZhT5pIrX8ngs3
PYoduJ4gSXDUpdZRGJbIM2nlyvATdVI10rJRmx+Y/7EJFHhEoDQGPkWlHyINp5iHIzZmGXMkGICB
pPRzEqFmwwFNW+LgiaEvKvRsgz3S0sIZArjU3PaQ61fdMp+PGr6adV+dA9/FG3uo45vWNoYrRSFo
UBipJGycC8+fwdS9QO2WnFFVyDQFOAayaRfktxU+jyYe4NTCsWG2W6ObW3Y/LmurC45SHAeh3gX9
in1YnldGQZmfVAmpyV5G4CYHIcRrkc70ApyN4TlwzjNtCmAHCQSw4RGa/hejHVrLtNKji76Vz7Ic
iJQT0dqhm8IfReMYLCjIpm421VIgGCEtncMSNMZkVK0Uc4MeElplW+hQgK5CHMvBVuzK4LbLNgxx
hGVip6u0bNslChnBkWtK9mmgdxW6O+i0RMi12OmpIuRblMa/iYWgi4+yi0cVa9JVNK4VVF8ipfbm
LjowMl4yU3RzTmKRcNjhcBYL0Rgf9Rh/NOg4etgwJPoAHh2JGb200VBOSfOk1lyVQohGFZI0bThg
SEZ2hcLlUheyNU5pT5XeaMhAhk51sB2jamMI/wi6zWXbqfppa+TSEYXkqYJDrHZuGFXEaFOBkmnD
YUmjVqgpoFJen5SFQ+udiXbWcn5elIWBSJyeZTMpy5ZZ2alU0MZmqfnxd7zbZkAElekg9dVR1wsR
qtZT2Nld+1MEtEhKnDtVqk7MMLnImuYzJumnVW6BLFKl/NMgBcMK8DF94WyEWEapC3vP+FoOXXdu
2/c17cUgtoBBWCeDnzlzTH+WBRxUMxsXPPMZJMcTAwVpzGePDSU4SXzbg8BkuKepTUhMzFxbND7S
BEPvrQofX2s09aKCl2T71lHeBeFEQn9vokb22msorNVmcNa3qDH0qUNTsm4TaHTFVDHjlQNoyy7L
dVLaky5Dsxv1NRNDNiRkF+UIOQosk9xW2cJT5cscQLufhyur1Y+dDu1oRaiF1ShSdX382Y6xiNKb
z2YrUyUA6WWeuYC4j0BV/8wL5dIYm5XV2KReyZy+nTaVffqsUjQN23btw/gz0XWoIC7iu4TubJRe
2pl655BCTpJYu6+d4VLHWm6WFPnpANpBivRpzjtOQs5kOhqmHua77ShDxHGT23EYrtE0pYMehSvA
wudjhqoa+lSIWuOPlOEZmwFn4vaxIV8kaf9pAOWtjpgzu80MDfGJP0pLCNSHlilPkzxEtRCrTAND
wRgfedMGTinhSQeQLvJR3c6zsxQPnnmKKIZC2XPCCfNcRRYtaL3DnmQVc7qTFitchFzWRaOSgPQk
dslPOiRTl6ScUzvq5DFJ5X3mNpc96jahLUOUM7G0S78ZhTUDsjYDITtP6xIAhXpm6vZVVZsLHWkX
w+vJ4JzrOMSyBAViDs+dvEx0FFZchxmICA4Ncnymk58oYAC29hcDR7XKt2em3TtAI/yVpgyH/Vh+
k5X6aDTsK9PMv9l+dem1w0WT3KVDfl/Isj+NezAkmmCF54sKC5XIw/dHHqae5l9opX+atdolmPqf
isRZvAQdgmhhLsuHktMe2pWEA2p8FRrZSW0on5HnoDpNhmMaOWd1rHvlZsFS/FQ59kLRqiM8Wrhh
Mafh3E+Rr52RaKfUndXbrsm+cSl90bsamEAwsqykYmb5kNfTbg3/YppiE4gWyGqULA4nyOS2ZbTw
JYIELXQcn/2BM7VpLdW6/QpH+3sNj2DIrRUEBIwHdNiSdXmYIj4vYy4o8P0AbNtvXSl/zUpkJSXo
xdjpBG7D2FFjSGtkzwxmp7VsjfYCH+HjfExpHpCKBtah3btnSNesUj05wsnhFCMWFB6bYJFgY5O7
8ooFBo3BJs92TjSlv8k5jMNDbKZUND+7pXlRoduXVsZl03vyxFaqq4bOQZuTYJeiIWDEJ1jFHsV2
IU+62DstxUY1Zt+GqD5WS2OZ50JsssPJqZtWnUh60mNMsD+X+XCkqNmxpOr+meTK7g9vCOKrqtL7
Kbq3RyXwvpGzX1tHBJ7wjoT3c1gn1gqiCugIFNQE20HVwTlkKD0Gyp2JMAm8mG8U0Vf0cc/YbwMk
taOlgqkbMrmsyxhk4SgrNz5MnoWjRdcJUsuToo+WWMCdh5EdziMk49IMNyEOSocukqidKoG3pbXd
VuhKY6QzVQZ1FsXIFPjpee/B4nR75ECHu1zK51IVrmuqGDnxjxUAbDFsrXnTUP/HNXMqkSFEdTNN
YoJEj+hoi05S2xoLevAoRVqLAORXmgl6LZRv/HJHbKHS46HGtLk2rjODgkyJWF9KCbTGGEDysYZM
8U7O0WlTgNmUSraKpfp0lLqbqsxvGxt5phDjOjcGY6A31E9kwt+zlPb3beiHDBE1EaG9BYreMQT8
/VmGWHdlCU4rlc7k5DCARJJB2Qdi8f5NyHOfVes2aSgyJwqyYTqprfoKQx9IiQyJRJHOevtH2S27
5qbH+RjFCaz/3r/TtoT3+Z3EL3n2OJmbDQpGK9KZamNjigi5pUDCWmWQvJvvAeLe79/uVYd9M3qs
JpqMSOrbrx9MRYHUhvbqnbfS97o5LrzbNL59/xbbnohsmWSZ2wCkfTV2Lsc63M9y/xxQNiq9zTDM
Yx/+j4fEAhiI+je0rS1PRN+WQwsQS9E5fXViaFOzUge5Ds4DTNQCjVq8wCH+5pkoLL+eDy9uIr5/
9pYqV6oN0+UmYQn4vDzBgXT2/qj97jHE98/u0NYjQoqwUs7L/NTEvyPClNUKfnOTV6AE8fZfPMar
V5NH2Hq0SRWc9xIO6gYO3+e6gPJYNwaqyEimNtVv7rjtsXAAouBtIAsE0vblY0VQQYMUzeVzq7gA
u4JGwcr6m8CUh6fSTJnuKPAUFSjuy3u4hiaZdluGuCD688QECYvXbPz5/fezbeig4DoGkn/00F5T
x/Bos6wgAI1S5jepeeJzUgzZDBwX6+VjvYVz7168f0cxp54hSDaP9eyOr14WKtFOmStDeC73GOVU
XzFN/s1moLx8O3REbGS9dSDL8IRBFovj/vNJh8OKH/m9kpyHJ+WqXhE8T7MpqnkX/qUxhdCyQGx3
8f5Tvbzlw87Kxv3XOL66pd/KSV/nbXjemhXHZDr1DptCdvj+XbaPHTgfmchpQKR8+WDIgJhWncjh
OTScqaocC3uA9+8gRv/128GzhNkGLkrQRV/eIa/UQBkqKTwH6Qd3QCXb/B7oaI2G4W+eZduIPb/T
qw2OE3FWKpYZniuU9uwLw70qxt9sb9tvgQk5UAtWkvVqqgVK1Nr66EXnaXpm0CLtQSlTMv1NqNu2
hJhsf97l1auPyhaAKEDr8yC6RYPF1aR5ST2RrklUn0sRMILfvKM3jwVPHMKd/oDyV/Btf/mOVIfm
SmJl8XndLgFjdOa8GC/fnwZvJtqrW1BLe76C0tZjQP0iPqeyiRcV4kXho7X0L0Fx22+h2awaEh7q
bC9vEfY94GlOWudVfCuNK+SqfvNe3kxlngElE4N1QuGNnufLG7B1WtB8x+ScPC9pjCl4+ABUKmLt
D2P1/wCe9vgTZ+t6zeERZudFc18Ol/dVQ3X7qa0rvj3PgrS+zv6zf/T+hR45pdccIv/7v9Z3hL1Z
UNVlcFuzdbzmm8pM5Rd13ocf9vCr371OvObpmjvugAkSTHaqtRrYdvHhrcYZrvKbryUgGAeQ22wD
SYnnr/G9UXj/ATfD+f6/effHvx4EkZzuPAiU+sh0Vai/4sPe+XoQKIDrdOd5Cdzr2UT51VR4/wF3
G4TnE8EgsPwHz88D/jUHrAMV+xAAN87m8dmdXjy+QEYoFtIdAvkoPvswCNuWA+9t55mApqWKJAod
KfHhLi+GQihbkgEBHNnMuv/jmbBlEIS2yo6DgLAnUjKMwuPrfrMnKAdgXoiUzr4OwuNmtQmef+5V
f2tjNA+YCJowpdzMhNeLgpmAuigRUXD0/+/3hC0zQVD6d5sJwiYIoLHgU24+bzZGlgNf64Ce93UQ
yIN2HgSh4EAplfF8uRnoBxR/EIYnOOz1vsjk2G0MMIUycF4kAgp+B58tWwLAeCphgta6h6tB/Oyd
BwHsICmwChP4YQzEOfjlfFAPgBaC3NuM9/7FBnnzcnbZFiE08ICclzl/vHx4+QC5ZwTIwACLz37O
AwOS987zwDgAlIyYrWCGPz7q66EAQQrJW93X0CAQrDvuCDZC3nBSSQs3g/AmNKiAZtHQJkLu5Y5A
WN/8sF1Wg3OgimTQBDb88GHhv5wJKnAYSs5I+uzpIAiY844zgXSRLAEo0K9yZuXAAM8PrnmTn+/h
vrjzIECBsAyqSFT6fhEbdKYKJU1T3dfgICiOO84E88A2OBiQNm8Gge3v5XJQDnTQYSRTmwHfw5nw
ERsjdX9BnXkcgzeDQKAUVj4oMD/sGXsbKHffHsmP2f3gBoH6E5/XMQLPJXoKNBT2NU4+LtZdQoR1
oMmmY6Iwv5kPbzJnzlggKS06LA9jtK/TQd49b8Isix42keKxrvB6ZVBnsuC/GJBb9zVafkTBFU1d
Gt+idvt6c+QLCyW+fZ0C2maZ7rYayAdRHHyKENuOUACLGZ99HQSBNd4xTBoHGsbKnKU3AUAclV7M
BNaBKMpThNtEoz0Mk7vPBCoK4MSBZLypqtBxQDjCova2p7uAspmbu6wDDkfYYQuUwMOm/zYyGgei
H03ffb+ThMcZustQcIYyhdqC/HiGep0kCCFVztpCjHdf58Nmou4yCGTOssqCIDJsPq+3BJtF4Zgm
+hL7Ogi7p4smYhkcodCE/sUg0IfiO2qM+7ovCkX+HYMD50RkCDWobdvzRYIDRTYFsNTezoTdkyQC
IFsj+J/Hg8OWugrWqgrKKvu6Jwi5hd1mAiUFwO7C7xWOjfi8CZTyAfhM9sXHlGT/0oTHdbrLxgjT
zFBVDbn/zSC8Pj4p9gFKFdSkmS3is69po7aZqLsMhcXpSLDnkCrdfF7FCKAaaIsiGvSYp+/hfNg9
bcSl2UKghDr+9vnAIBhUHExLtKhYgPs3CEKWdredQXTj4D7TidqUDN5kj/Sm+VKm5rDJqfZ1UUAD
3XUozAMTFQthUrM9kSZ7NOlCIKa/r6cJVIV3HQSN0wQFReR8ti8K6mxg7GXUQvZ2Juy+M9hCrFkM
wyOKads5AjaIIqt/bp97uT8I5ObO+wP0a4yQYFs9fN5UWeQDmpekFtpmAe7hJrnzziA6MppwnHrq
1jPDXlRZiBQmStkGKJ6HAd+/QUBHa9eZoB1g+YV65WOl6W2pifK0MBtR9rYELyDzOy4H+8BATkzo
v/9iOYhMW/yHotw+55CPNdHdckiRK3Os+lU3Qjkgv1SotuzrzvC4Ze0yCA/IBCQ5ReR9sSUQJ2GG
2TSsHk8b+7oxbOofu4wBeTRZNPS+R2jflmipovdCQrHfKaRga+y4Peji2CRODL9uS5kQKoSn4Gb/
2NNZoe++UwJ6hegFE+bxSV8vEGIm0C9OoXtbi9V3r7tQVrE4MAgmzcNnS/GJPUJGGGdfi0+P8Ipd
9gfKKiC8US5+rMCRirzYKsVMwE4UcuDeDsLu5yqLerNMI8r8VRlSeLyJ8pO1udf+pZCC977b9ggG
nCYUQuhPbIAteTTIYCA9yiaU7OsR87GduMuioEGh4ZfL9rfZGV4viofavMifhKIuw76H82Hn7RHF
UyEdrJMabB8Eik+UpoRqwN4Ows7nKhYFXF6LDOoxUL45YaucsGlvAw3d05nwRiz/P+EOcqoyAL/+
quwEnoePQTjd00FQd94ehQAwrFiU7R4T6S17gmMicwFOeq+zR6GSvFukgEsKOxiuzFN/4vWiENsj
2SM44U21b/+2x0f2yi4xQqChedGW9YjseD0fVIzVoc5ruL/++4vi3xipPwnKUx8flwdqcnBfbWMw
/+ofPFFW337/jHj8wDd98S8FVXlz8w0zV/zv/3nJXH4IhM++fQqMD3d6/PvHR3x78xc3e3qup//z
MLgv1+UtlpsPhO3HH/ppncBt/lfMf92tn7NleSeaeDtP/992mvWfy+D9q79jJ/LwY3a5eLK+y8qn
X7m6++//Er+ckziz6a9xfEsQ/7d+OVZj9f3TdZ5dm3POzteeruN1yyupnq717PqkA7tfP4ub6s0r
ZWDYvT7g4kjGrf+YZlW97RZUxHa+xew+/uMTlnrbxp+D1M7Xn8d/zLKSyfN0rWfjz36z8/UX5X21
TThWgFF2vvgyvk/Tp+s8++EfsVwPm+RHFt/Vby+vkAPs/NNXSX5fBuv46VJ//XoBFtz98umw5Y0q
H7Fij+/LLWMuICU7/+pjtLS2bATKR6zVk3W0ZQ0J4PjOP/tkXVX328bkIxboSVb98a/Uu4/vt43M
RyzR0/UdG/DTODybiB+xRE/XZbBtaD5iiYprI/O/5aeLNH3n13r6G9nrXWP26X15e3/39EP/GnfB
Idn9x79j6rPzD8+27egPrikfcOn6vrwfnkbg2ah8xEr9tM63zZaPWKef7tv129zRQKHu6Vl2SO/O
yjVbwNOFng3KRyzR83h9e78ldxRk5J3n4TnmZtuSOwFa2PnilwGpYxXcbRkZ0Qrf+fpX61sknLnM
llgq2swfcIP0j8l9Gmy9wUdEVGGHPiFgr8u7rfr9wq7rQ55iFtx720bpI1ateIgFK+A2qG633eMj
lq+4x1GGgvS2aKV9xBr+95zpd91AxV1O1/X9tnH6iPXM9ev1H5N1+WO9LWcQ3dWPmE/cYxpvv8PH
LGzxFNOyGZ9+7l97quiK7v4I/nrrmVB0G3e/ODWMrYP/IYs5qCKkH5un3/lsYD5kLWfxelv2ILqC
uw8MiUmyJcAL9YrdL16v06CK182WPFz/iDh8JcosW+KwEOja+ddf3/vrbUMj+n27X5wcH/XDpyv9
NWWMj1is1w07wZYQL/pzu//0hgJRss3mV7Tkdr78F67QbFurgviz89VvsnjLPi9UaXe/dPNjy0IS
4h+/ufS2suyfjc23xdonYcNtf/ayFi3+xW18vy7/538BAAD//w==</cx:binary>
              </cx:geoCache>
            </cx:geography>
          </cx:layoutPr>
        </cx:series>
      </cx:plotAreaRegion>
    </cx:plotArea>
    <cx:legend pos="t" align="ctr" overlay="0">
      <cx:spPr>
        <a:ln w="3175">
          <a:solidFill>
            <a:schemeClr val="lt1"/>
          </a:solidFill>
        </a:ln>
      </cx:sp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plotSurface>
          <cx:spPr>
            <a:ln w="22225">
              <a:solidFill>
                <a:schemeClr val="tx1">
                  <a:lumMod val="95000"/>
                  <a:lumOff val="5000"/>
                </a:schemeClr>
              </a:solidFill>
            </a:ln>
            <a:effectLst>
              <a:softEdge rad="31750"/>
            </a:effectLst>
          </cx:spPr>
        </cx:plotSurface>
        <cx:series layoutId="regionMap" uniqueId="{8B16B0AA-CF4C-442F-9FEB-E01AD3C23E1D}">
          <cx:tx>
            <cx:txData>
              <cx:f>_xlchart.v5.10</cx:f>
              <cx:v>o</cx:v>
            </cx:txData>
          </cx:tx>
          <cx:spPr>
            <a:solidFill>
              <a:schemeClr val="bg1">
                <a:lumMod val="75000"/>
              </a:schemeClr>
            </a:solidFill>
            <a:ln w="9525">
              <a:solidFill>
                <a:schemeClr val="tx1">
                  <a:lumMod val="95000"/>
                  <a:lumOff val="5000"/>
                </a:schemeClr>
              </a:solidFill>
            </a:ln>
          </cx:spPr>
          <cx:dataId val="0"/>
          <cx:layoutPr>
            <cx:geography cultureLanguage="en-US" cultureRegion="US" attribution="Powered by Bing">
              <cx:geoCache provider="{E9337A44-BEBE-4D9F-B70C-5C5E7DAFC167}">
                <cx:binary>3H1Zc9tIEuZfcfh5oa4LqMLE9ERMAaBEXZYt+eoXBC3TuFEACvev36Qke0SQ8kARzdgdUt3RLZFZ
TOBD3llZ/7zv/3GfrlfVmz5Lc/2P+/7Pt2FdF//44w99H66zlT7JovtKafWjPrlX2R/qx4/ofv3H
92rVRXnwB0GY/XEfrqp63b/91z9htWCtLtX9qo5U/r5ZV8OHtW7SWv/mvb1vvVl9z6LcjXRdRfc1
/vOts0qjH6rKo9Xb7ffIn2//na6y9ffVG0c1eT28fbPO66ge7oZi/efbrXXI2zd/TL9uh7U3KXBf
N9+BmPITgZggwqL2w4u/fZOqPHh628CEnBBOGLdg5cdvvQZWXsXRAz+r79+rtdZwZQ//3V1g6zLg
bvz7v9+F+83d2AAQABZ/vv2YR/X6+5vbelWv9ds3kVYPt6saHLW51I+3D/fmj20I//XPyR/gbk3+
8gzl6a39b29tA/lfQS6ifH0AjMWJZVPTwiZ7xFhMMMb2CYeXaXI2BXkuRy9hvEU/C+ItiiND2FFp
ow8hxfYJQTahADF6eIGwTqUYIUEtm5nbCM/naD/CE/oZCE8ojg3hVbpq19VKH0SMsW0RTDh/AWR0
YonNY8CsCcivYeoFnHeWmAP1DtGRoX21+g5YHwBq6wSQpibhT/KMp/KMTpBFmWDY3oZ6Pkf7cZ7Q
zwB5QnFkCP87W31X1QEQFicUnCpEBJjcbVWNwBgTYlNkP4g5QL/ld81maD/AkwuaAfCE4sgAdtfp
m2sF3v3fjzHDJ9xkACYWL/jWDMw2o+BbT5zrVzG1H+fdJWZAvUt0ZGg7CgKGjcLW9SHUtjhBG6wp
5fsdbQimMGhtk2NwwZ9L9Wv52o/53lVmwL6X7siQl019CBmn9omJweNCL8VWBJ+YJrMwJhNFPpuh
/Vhvk88AeZvgyND10jeuqsBU//1anIoTTmzLJE8JEhs8rh2DbdsYxNraZ7Bfxdp+rHeXmIH3LtGR
Yb6AfFJ+CMCtE06xZZoYP2rxKeCbdIkw4QdPgun5HO3HeUI/A+QJxZEhfJqu8/wAEg06myAT2wTi
5G1RBvtsC8wh8tq2z7M52Q/sNvkMXLcJjgzWsyb7ptLv9d+PLIPYSViYsV1k2Qm2MEWQ6X4U6m18
X8PSfoh3VpiB8g7NkQH9VaWH0M+Qzuac2eBzTcUXAi7OOAakt+Gdy8h+aLeoZ8C69fkjg/SuSVfV
AWJlap1QijBBT1kPNM14gdElthBgc+k2tvM52o/uhH4GvhOKI0N4mRXrKlqlf792puSE20SYjOLH
BDYguWV+sXligt9lYkiMbV4TKX4NZ/ux3llhBto7NMeGdz4cQklbUFcm4GaBov5pcLexFuBq2ZYF
Ir0tz8uZ/LyA8HPqOeg+//yRIXuxrg7hPZsnlD8kPB6FdJ+m3mTBMCXQS/A8yTWXn/3IblHPQHbr
88eGLHSmHKLCCEYYqouEMfMFobVPLHgPcllTaOcy9AK2W+RzwN0iODJ0b1f5JjtdNeMBbDBUFjnD
DGHrEeJpLwikqKEoJcAPmxSRX8fVfpz3rDED7D1UR4b45So5hE9tn0B1CXMEtcSH156uEBub2BJ8
gvVcfvajvEU9A9+tzx8dslqvD2CFIdPBoJ9L2BAxPbymvjSBZhB4mwlroqovV3M5egndLfpZ+G5R
HBnCX5tvhygl2icYAIYk5UvNPlBXArkVzJrEw3P52Y/uFvUMbLc+f2TIXir95t95sE7Xh/C12Aky
CaHip681NcRYnBBGoUkEFPjmNQmGX8ncfrT3LTID9H1kR4b9baSTaFDN3++BbbpCKDYF+dlxPS0v
gQdmQbeuCQ1e2/HTa3jaj/fOCjPA3qE5MqSvVlV0AAMNjfXgaJvQwPdUN57KN8BsUgzm2Z4kQGYz
tB/jbfIZAG8THCG6hTpIzzU/gf5L6NAUTy7Ynoy1bTEuCDjgD69tad7c9rmcvYz01gozwd6iOTK8
YfNHHul01RzCZHNwqREUh62X4il8gtDGaPOJSL+Oq/1o71ljBt57qI4N8VX+xo3WwSGS2FCwwKDC
oWgxrVRwKCdTgQV9ypRtyzZkLObz9ALcO0vMQXuH6MjAvlrn39V9dJC2n03EBXqa86fq1FSfEwrd
utyi1J5E1K9iaj/au0vMQHuX6OjQru5hQ59zgE2PFFm2JaynZpCpeEPyhAkIvTFn+2Kvq/Vcvl5C
e4t+FtRbFMeGswKh/vthhkiL2ciGesVTrnun3QudmIxA5y6eRFpXcxl6Ad8t8jnwbhEcGbo3aQO7
rP9+eKH12qYWh8bcpz5NUMtbJWaQYsh/Av500qc5n6P9+E7oZwA8oTgyhK/UQQwyJMBgS/IvJb0x
u1v4blqCoFQFGdLpJriZ/OxHd+tqZmC79fnjQ7ZeV+vhANJrQRcf9PFR9JTg3ilg4BPLtCC9PZ08
APd7Nk8vIry9wjyUt2mODOnrVXGIMgbIsA0NBdAx8OBIoR2UYbwEVKkQZFG2Q6i5/OxHeIt6Brpb
nz8yZB/L53JVfVsdZK8yO2EEbfKYL2+XsGxBGYbxA3vyYK9mbz/i+5eZAf1+wiN7Bq7X7eog42PA
BFuEC4qeNqrvyDekxDBMnWDTdpL5HO3He0I/A+gJxZEh/K5aQanyAHaaQtMubG4T1kvDY2CCkAmb
1a1phXI+R/sRntDPQHhCcWQI36Sr+/VhRhGAD73B+HHgwK6NBhnmm6Zt8qi/J972fL724zyhn4Hz
hOLIcP4QwQAZHX0/jDDbApmUPrXu7vbucmju5Qj6Oycgv4qp/TjvLjED6l2iI0P7dnVfwUC1vD5E
/UKcmBxGfzGYCvTwmkbQsDkd9lHBD/Rzb16THpPX8bYf9T1rzIB9D9XR4Z6/kWuYWHcI3GHzhUk2
cwle6OPe4I4Igp2Sk8ZPcIZfwdVLiO+sMQvxHaqjRLzKV9X3wxSwYIsrzHiDmuRTeXrqi2MOwThD
YOu3Q+1H0F/D2O+A31lnNvg7lEf2ANytw1W2+vtddOgFhh1zFrQTvhCBQ6sRjCgBYd/sr9xV8/P5
2o/7hH4G3hOKI8N5I08LCMfuI32vfora3zOrlcPGDA5b5n454lsJccAZUjHQW0j3SPgvjuY8gPuB
3rqwX8vMwHs/4bHBHq2rgyTYYFyFhShMLnh00nbjM3QCb0IKTjwmYaZe3Gy+XkB9m34O3NsUx4Yz
iPcVjBg+hOP20FPIOVQsX3DYQZMTAX0qbArya5h6AeedJeZAvUN0hGifq1XZHKpJGPrLGAG1/fCa
umzgqBMb9mPa9n7Rhrv/CuZexn26yEzkp2RHiP1lE+k3775FujiEvJtQ/SIWJMjBrm9eOz1nsIsL
cjUwPW6PRX8lay+jv2+hmU/APtLjewo223Fh7skBfHfYJrDZ4wM7NF9qRcMnm6knUEGZNLGAT/Ua
tl5Ef2eRecjvkB0b6uFKb67x7+49hGANxuxD7zB9aWMfOYHGYiRAL/yMHR5PXLidzdELWG/Tz4F5
m+J/AOHfs7h1yZvDGP798w7vic5ef5AGdBJaFlTB96ty6FayMCcctnU++nY/v/sR3eenfzwOzdjH
035kn9NuXePjJf7+pvzPHZNxB/u14PCTg4gmh/kX4JA9NSrspMsJNBTC4EA4Z2EbvFewtB/B6QJ7
UNz6ExwJMyU5MpRvVbo6WFch1Do3nWcPrx2XCwZgMBtC6Z3c+GyO9mM8uaItPPefdzOhODqEc3WI
dCgM7GXUtqDt7KXOwodtPRaD7XvbYnwLfaPzOHoJ4S36WQhvURwbwpuZ24foWICtOpQQOArlyZTu
7N+A3lGof0HcPPWhZnP0AsLb9HMQ3qY4MoTvGjjRKDvIoVWwf1pAuQowfEFPI/CTCcaCQNLk+Zix
1/C0H+WdFWbgvENzZEh/glvcHCQChkMwIHlN0UuHJjxM/oTuIwtNdtW+gqX9OE8XmAHzlOT/Bcov
H0/366Q/d1WvvIczAp+dUPf7dx9uEZxtOCF9Eq09wcivhu3l9z/fQns3hRQlOFO/jh/cLLQlmI8H
yfwU1m2qNUTbf76F4wbhYCPoFycmbK2HUaEY9He3fnoL2tAIhM6bDfcUE0iH5HBuSwhnGMKEfhgb
C+NjN645nK0Bz4lWzdNb0Mtkwq5tqHtb0KPMf53heKPSIVD5r5vy9PubvMluVJTXGhYm6O2b4vFz
G3ZNBNtRIL6DLaIQxsEM+I2LWNyvPmym0cE9+D+qMMfEHHz9DqX0LlH6lmjzImP6fdIXsexaFp4H
SHYZZmfxMMRuliT+wm+tzqn7xpeoLErJh65x1WB8QGwcnbDgWHastqQe8fsalUQyG9bKuQq9NC7w
0g4qIoswva14HssxV0Ji1V8ZJVIyy+PC6cbWcIze9F1e89hLW2LIqu7Ka5Rnd7AHw7zi7ZhfxoTU
UlmklIGvA4+k/JRpO5CiVZ1jhWEgxyq/C3NB3dTICokqvSwLc+GLOvB0gonkLFuPZfipQqkhU2Ke
KWrcGmOCpV/qq3EcWzmawTeIkWNZms3gVKrz8moZ40sc0O8tnLJJndoOzpTyA7drGyLLsYnhjiSp
m6d94pJRF14xxKtuVIXs6+p7U3fnuC46aSO4oKr1l7oSN4PBCznknjFeNjU+75n4y4ytpUIxk/Zg
Itfm5mUVVDdR1veStaKQqsfvEqtKZYAaDwsEkFCuZR0EeskrhqT2sw8k6Nh72wjve5K/17loLvyU
pk6EQ7wgpSJS8xYvqFU1XuGr2kuTKnb9pMOyQuKSROFyaCImzSp0Y5F/6BMdSzQ22Ctpxh2hh0Fa
dtZ7FuKlF5R1exvUiDo+tj8HhoqliorTEsXnOuF3zB5X2Ajy02xIZI1qL25D21UkTGRBq1AWrDjr
UEscqy7PYQycBvzKU5tmsZP4OEc3BavzW+GX8MWVlkWi3o2suo9Up5akNW7gAV/ZKlKyioP8PEzw
l6psr6rQblxDsNiNOrruu2bd8mFY6LovZKmFf8Z781sGIioVsOIkkZUsoq65NUmgLzKBzts4/lqM
9sVY4tExVXiqOuOyHIZCaiTQog58LFXid7LS+rqORxCf9i4M/G9lyMVZTu1exkZ26480lD1pPpeU
L5OyDs6Eqc5hZE8q1WBlC6HzpRWYH6sQhedtnVsyicdbWLO7LFuzdXpbKa8OrMrJozGSbZUnC2xv
wOvp4CDLt1zss89axZXTjk0jtc7zc02a3ukNzmU4RKVMdVo7Y6/VlwD5wVkehtVNbJm27Gjp9vmA
F6LJPgkyxjKow0XfxlhqoiIAqMg9P40bT0dJBNJek6WOVChVbIVuRZolGgValiJccuynpxbwIkuL
DhLUYi1Fpm90XI9SlfkZq8uz2LDcWI21jOM6dorUwCBprHYMRHo5sJC7dqDdmuFccvgfg5k3cWBL
pduPuI8vzKo5V3S4tll12/K2kaPOTkPDT2Se+aPME3zd9s3HSJm5TIfwJmPN+yToPomkv9LZ+EX7
jMukrUHhqPiT1ZJz1qOzQeu7WlhIlk2OJFKKSjvtLxNdehxVapENQktS9Vd+Rd8n+ZB6fYc9Topz
0jS5HHTzg5n+X1GA3zEVXxttcVPGvHREq7/5vtnLJhm/pKGmkpVCeHmc/aUzTqQ/+KGsSXGnQnbR
G4Xy2hSemtq3h+QTbWLzLGJWTk8hyCdeqPpz24yU+/xw2C3bcK+KoYqC8OmI31+//utOZfDPw2mx
//nj5oTg//x2ulab9J6efmhjwn996j8nzm5M5q/jZyeG+PGY4Res9G/ffNmEP7fFJpScf2e9nycZ
H93tB5P4QPXTemNoQdtMNENwopkJJ6TAgr+sN2wT2mwSgQkqAgzApn79ZL4ZJFzwZpsn2mRG4bC0
Z+abwIwkWBDaXgQkzGGo8GvMN4bv2LbeNnRAwbhLC3I/FIqu4EI8t971SFVRNk1/nXfU9trOD8Es
0JgnTsK79r1lmMN53Ld54iGU1F9rxdqPCdN9KbWdl5+f3b09zsRmZO6UG3BKYN4u+CZwAvMmp/ic
G5YPRWKHTXtNyhxfB8mY+7LhygqdHiTNlm3Hmq+8LYxIVpmoS6eMqySQ/qg5c6CjP/9u1zV6B2uE
jUvSFH8cTUPg08Ey/TUeDNwvfs8xgfTIDsewaROGTtomh6M0Nt7RM++HRTwEbIf6mvZmELhWP6Yf
W8il0UXNB2XKdugx2A3uCzlya4jkkCB6mrXVgN2qVfX3sNcaO5FRmK6G87VbWWchaiWvzCTwAhWH
N0ljn2faDrULyR37kw7LiyTtzN6LtGFdRVXYZqe/v6pdGGBvA4LB9HAMH8x0ebjoZxfFByPojCLV
1zkokE8qEODosITAo1HkTX/T9ZV9W/g4/fL7r908a889SXAhwVPlFI5rhQlhhG7Yeva1JuoDVugg
v87FiK9xEjbXua6cSPjhp99/E4jPzjfZ0O3LYRYozLQQk+esyNkwllWorkWB2KrsVJWe+rUYiEyK
0ENlk44ORYNQTkzNLvtvD83UZYarJJtJ8AyOpYUTWKZfD3nYKAzyLLrmZWKusrgxV0m64cEcM+1Z
lVJyQAD9aZeWHTiEieLrOrX1srMHdtlbtEIO7WKVODHPs4+0Kgh1QzEM6wIshouMETwr01asOjOp
NTby93dvc6bT5PbBmE1QG7B7EY5Bh3H220AhqzFz0/SNK9z42Sqqah1IbCR1ziQdhjw478Io+RYI
u7jswTleWIr1kUNwy3/UfByVM4QBd8DAteuoovx7axYhP/89k8zcAZkyCg/RpnAB3UEmh5zI88fJ
qkSEqrCmVzErC98Wbm2H42lf99Re1G3TOFVfovdtNpiNDMOQOxXOTzWpitOUFcRJ0jL7UKRm1kue
dsHnLs7UctB1LQuzLD5aOhGuX+a+06g4jmRU07iTfqzz664w9LvSGKkXBNiOpTH6eeaQNszOTKtO
P5A4uAmGnPYybXh5XfvlXU0yg7rgRcCNjAYCuoE14yhRJ+LLNDTFVx817Dy0BL4cg761nQ6FLINz
pYdoaYhqyGQ3iNHFnWm4Y9zfF7qsbxtk8BAir5ovfF02S+YTcleGuEtOfW7gSI5h4n+DOnzVyigv
jb+ajGduUWiyTFReLHFpp9+jtrBA7mmW3Ea233PZliw4r/yqcQa4D6eYEftd2YEDz7qqXGDc49ZL
4bjHwGm7QJROS0LfyzSt3Kaw34W+ESAXY1WfgakhnZOj2JKi5umXPkPhBans4taktXna2LFBFtrK
xpWwVOVp1Mfjok1EsDD6Hq2ITrsfOigK0xlJjRqZB6QNFn0dKxCOrvOGoG3EolJ+6KY1zc5y+KiE
8XSVghudtVzGOo4Nh/sdl1yZ/ShZnfoOrY08O62sxAtYM6D3HcXMjTQEeOBpsrJe0Lqz9WlPeX9p
JeOY+u+brqyzTA5ROuTV99APCRm/6s7oeRZKuwJVru7JkMU1rWRTN02BruukzhJww6JyPG3tpvaX
WRVFhYxJqm4RN+gyHihtnAYw8OVQIvDmxjATws19H+xhnSZd6VlJFyCnSmvsvwtLZHF1lgy8C92h
T+360tI1hSeq8xXWndOALVxYRhj771oQHStwSlEIeOBoorNFnkaVLdMSjJfv9W1kOYYPhV1TDj7K
GZwe6meZA4FQ5y+6lKeZp33wChZmHmSjI0YTNGZOEtY4WVgZqWz1EIDDHhlZ5qkgEj+MpuURcpEi
9WnERCOuTcMP/POcQoRuxk7e63IczjSMAK1CrwhCnnm+bsdyYVc6jxZDamXDGdI6KxyTDGnkQNQ1
pKdVVEaGA7CSz0aRjdiFnV5J5sK/yHiXxsjQcMvz/HOcZXa2pJVdp14S1taHsakpXcSGIvgi7ELN
IU4ISVif+lVb5LdgjOl5HIwkWTQFcOCpOg1GT+B+tB0RD0V3lYkBHm0DRKVyfYyb84qaZuoGPg0a
l+ctwBlxDf5JPsZ0XKcJlGhcAQxkLh2ysFxiFLGzIOKJ5ZAkKakbqch3x8ZPTGl0VWHfxH4XM4dG
ZTzKrIhH4wL5KVvgwg9MYNfmhYeHcFTLMMJd4CU2Czu5+ZzEdmTn8PgEtHT6LjJGWfeR8VcFh38M
hoxAjsg1Hh8CQdEyg94NaUeaa6uwB+XmdllfmU0OJinQPAECO6Nwt/woxPnXEad5eF4OWdovdGeO
0QWug/qOxcRcmb2f+VJgeHgXTd5z6mlrjID5BseZm9Iy0Y7ofC/CUfk17TrwLOIgbm+1aXXfiiqk
Zy3vAt8TiYmIzIUP65ipivtFXrX4euwLyt7r2sR3uIZIT3aWoYVT44H3XkuyODqrekK6ZQ4xH3kX
Gdz+lKNy83DGcalPeapDfdMPrBYOKjvAJuwgiHKVBqV7ARbM/kQFgqc7Ay1ZuZD56tWy1rZPbuKq
SZIPROQ2W/Ys7pqruq83zmc49DdmYli9p7oMvlqpTdanJ1k9nqKEby5+w3oH+gn4KjJ8zcwcrqIp
TbhVYaKS0bGTFkSnSIMkep9XHES+asArCOA90KmkzsN3JWZDlUtahAjg7qq+ucqMsNAyQk3ZL3oY
KkK9oS3JRmmAMDlwRaBAehtv/OQ6zz75cJ7nuWijSEgRmgk8F0NgrbqcAht9FQ8faN0jfRGAmxtf
qCJP4lsB1uJU5whfl3ZQfoUdVFYpQxZG5FyJwIZcUKiC1h0qXnbg4A70tCBwWx3I5Qz3SZqYN32j
kTor0dAmnzsrC/RZ5hvZj2G0NzokKtPQhThAUC8iQ6gXhZXZnw3kZ4usKwLIDDJQc0PVhR8iVesL
O0ti0zVJRQJQe3DStGxDYn+qYqMNvJTkICaj4VN7yXKFy3UGCnk4h9MNQTa6jcb2YtOAO9q3Y+uB
kenKC1w1xHJ8O61bsLS0ReB6l/Ffld3ad8YAbvr5aNcV/l7rfNAyw5i3y6gjsFSf4XB0WBdYwRKS
G2HnGIltLUbVtvVVP/D0Nm51KQXXZyzrW/Ns7CwAJ0FYj6dFmih1lVs9uzRqxJQXlnnWXgRDV4SO
MHUW3oEnor8jOwc1AqpTtzIJdael3bWiBCswlLdpUOLoC1YjFZBmBA9s+FjU1LBhMe1XXsiNJDg3
/KL7FgbIaJ2UaytZRjbC73tt+ONp1ZQ68qKxgYc0InVMb/okHc3rzCrSVJZFi6wrhkPWOwN4N9rr
wgJQ60QeBbIaeRZJoXXq4Z72ldumRFSnoyjh6U9YH3B38AekHb/QVvm5Mwd8F4cVPGtg6exP8KxD
Rie3cwwKlhR2vBBZaHWyb74S0XQCyyRp+UeT5GXndmZQsyvmp6L9UPrarsC4wxPtFREFNCFwGPrL
iNaJuuRVEdIb0qPUWvq9suG6+t4IrpLKKDo30z7oDPDGmvoqTX3gv7KTYKFDkYRu1yO0HEoGcj9A
3jySzA/51YNX+lR+uHmeP3+ey3ie2piTI7mK7iul1Y96miTZWuj/80zKvmIIRBIvF0Oen7n9PA3z
VEgB2p9Jlc0J0pvpKdTGGMremwDqV1IFNvzAKQE/ixsWxCb/qYlgBDVyG2bMc8i7bCbS/qyJcJhq
KiDdQ6zHeon9mqQKxHKTAMmEqsrDsESI/eFnk9l5HnrYGR/tHFKu79I2AvfXqUqFztMes/N8hGjB
ia3s4xAHUD7ojUuRQ/QWm1kru9hyw9xAEtfxXR/UF4nob1vUXw4+lA+K0LIlSAaouGgEz7H+1GXD
Nc/o0owsSVNfyVLod0Xfn1tFYzl9Vi6jMe1kpjX4gJD79Lndn1aU/qAiqJ1Ol7lEUTI4IEbEqxKj
lKNgiyaOhcNS8KhtHX4dLMgs6pQNnl0PmYuq4o5ZkBtmjUEcyFE4tBiRM3S1ZEHZOlXuf05t7NbE
glqH1q4Zdd+sJpGxX2YuHHN3D/nMyGmt6IsFVkpCbmVJewEmK+ISfLEvVsBOBS9Gx+/oIhSVIanO
zojVmm6rxJnus8wdWFuBC9N/G5T/Lav7d0iFpTQhPxUhO3IylpwmSb8UEGQvcN9VkGkxlBRB8T1A
zHR7nH8plBlLGrbU9Zt6bflkvNbJsIoK079ozAiCQZNkMgwsz8gF/kA0r1wGoYQTbYyO0r192nXJ
BTbL9quw24rKBipzCwhpnZHxyGM+V4t0oMhJIbLwRBgiGdijkg3J9dWARO8mkAVaCChvuH5qDE4N
pTooACShZ0QQ7gwo8r0c6egiQio9FXZX3xKzHT9BaSt0FQIXIdEpuoLEP1+MXZJ8VRUkoSPOrS+t
zrIPusLlTWiRaClw1V+Wtk/ddkjVOZjwqpEGY/Gl3+XFxoPtL5tqTIkcM+R/60VkCFC5RrnMCXqf
KBt7YdgVH9EAN/7Uh7zdX0ZsBz+YSBsvswl4YfXQeIkQzpBBLU3HRSPbsYbnpgLfUJOrehjhrnde
2QWXOi+/ghtvO0bZXFdh3p35ft0vOGohu02VveBm2ErWF9esJvWizBBkOaraK7F9AaFPIJM0As+Q
jpt42c7dkSXYVVhELs8GtFANDQuPRLec5hCdQi3mSsEhmhdJE7SfbAiglhb0b8gQfIxTQ+Sjo43q
R0984wz8a7cXQ/SYiPi7Vf7/njLHkNZ6WZn/PMh3V5Fv6H4pcgopcNjJZ23yNDD7HxTpL0UO2XGo
XptQQwdVvylT/1TkmyGmUPI2Nx0SoMUf6t5PihxayaHiDkmpzaowQQ3S7T/LA1vGGYr6T78/L25P
81yQgqawB2GzuQyeYlDo22q8boauhMxAd9Og8wC09vBB6f+SaoVTxrZsBVwFnLvNob3SgrGdkL/Z
nOX63FZgo6JxnOjihnZ2jLRkpk4SGVKS05sQQf3RLZXVJ+9HFVniepOo+lIFnCTvYarJ4IQo6wmI
dOFoiFTKEPwgP/UsGnljhAfZjNQZhvTGh7xQqgzIX9lnRqlua1QEcgixN5b8Qx/pM3AnQd1lEGZF
NXZNVp6Dv/TOEMm3dEhWhu9D9qZYxmn8ZYCKnjNG4bug1p4g6ZKH4OXivvpRNRz82qhz05Lx06iE
iMbIcCrBzz4r2yJxGh5/hIJmSbUDl/clsNAS/FvQw7g4L/t8nUKWW/o9k8WQrf0CivkiK6BAj3oB
hdZqUaTNpV/zzhU5KNyqI1D25ehbr/NzyozMxSy/a3FwDnmuj1UfppJE9eckG7QTDt29ttj5wKp8
UcbFVR72nWuXnIKB8k3HV9Ut9FhXEG9ACTsY6FUW5JVTa/o+7ezAGdvmixFTULTg+JuEZ1KQ+gdU
5lJHRERJXqqbXLEL3lXMK1gZyTQp4zMLUtoSXPLA6eMm96KCFBK3IpGsGD9jyCdSgFOqxvhgdkYu
M5LedZldSFskX42yYpJ0xRICuPg6rTvshEZyrg2IBxAumcQiuAzqexqrhQ3mPso64rC+1I6d5p/9
sWWOX4rcVQE+r0RTuXXLT0du3hdR30G6sLpoOLsXEGm4Io5+iIy3TsAgiVjW9l1QWj9Y1EGMHK2j
0uwcrOOzkEANH4OxVkF20xL9DccxZJ9YDTY6yZdpBHkX1taLSECCqqFgCpmuO48ZyHbMvLlpbONj
GzTaMdJ6GdKw8jALb4O+Ll3Fg8bJfeqlrKq8NuDeqAA/W8S3hLZO0oJJ6O32c4JGS0aD9SOO7b9M
nCiI3wmFAnbiS8MPk6s8SysniKPCAb3yMYAgKWdmAaV8+i5IOXdDBQkS3Pd/tXEKT09XNp7o4H5w
Pn5N/i97Z9ZcKY5t4V9EB6OAx8twRs92enohnGlbEiCJQQjBr7+LrFtVmVVd3VH3ufqhI7qdmcf2
4Yi91/rWglQPxLh1Zmr5EXoz2ZnB/dLQ9svIpZ9ZB/cYQ/WliJ1P7SQvTrKEGWlYjofbjDC/K6wb
ZbwS5Zc6WJpj5+PqL+dw6KtDh99GuqZe/xDRec0q0uAqT9vmC+yg9Bittr4hwfzQ9/7BWbsPASuf
N12btap7xwLf6yzmtJx0wnfNrM/TwOunMNRFS6o2H8mjTEu7X9hSXwhQItxx7oapTiEL123Pi0pA
9DRzcnZiqwpIrCof2yjKVly/NOj2VgWX4RiJPB6cvROPeYfPJsaj7mpU8TNLog/uwvLD+tNn4ert
RNvlhi1n+JRvjp3Os+YnEU0vdArr7cy5G6RXAtS5U15wnD3nblnigjj00W/Iy5hEuF+753SmG3Bx
Aynsch31bp0a7OHL+2SgH7K4LppRNyXUgrzpMSmPA6z+JNoNnbmKY1UOfdNmwboWjEdzplLAGHXi
ZJXjXC96eBQ8bcrKH0FSMXAq9skZP6IJV6Ih8S4I61jklZxbkaXVzGVeT4vjlK5Z4seYGrvv+8HP
a2ox4yad7q6aIHgWKnTuYWiUsZGQXdsa51bWqLBbMhGtwV4vasiTFptjEojHph93QI6e57l9HHvn
xRWw/N0pWm9ww+t3Q9u/9b53ZEPwbqvkGuLnVdqmtJAi4ZhloWTy3iS5U7d8J1aRPoTQGy+pYPec
0q+1Pzj53EzteViXuOyEBjIj3SUPNXuRPt7FmT1wruoiDZzTZMbnCTrBfeIEYlc5WAg6fH+Z4bj3
QHzCGTA5LSnGqVuvHZ04D6QOlmJZ0rmkAxAIfMrHpyodpyLUMWwMOSVF3+oiJMYcjKfnfeUP0N2F
WvazdFlu2i4FANJwfNh5dJixExzGxkAo03djyPKeePvahCZTTgX+JgDFRbyHLlLPg2fvaTSQYxpO
zyqdFRaLtbr6YRb5N3f2nx3O7zfd7UGA2x3XT/BAoj/c2Uk7dUih9tONSuaSeNd18kDwXUdYeurw
6T+/1s9TxPZa8O9h82FTRaoR/fk/3+DHUVntz+N8k1Rl1Tz2y445/8XP/G8vsX39B+cUNmHbzlM7
33T4YAIEy5h5Dbv7/8fPAS8NQiLBjLXRhj++yMiwU9Vynm+C4aFXF9YBnnL8zy/x57cFv6ofXoL8
/BJ6gqjohXa+CZN70e9WoUtMITJ+q5f/8ko/m4P/96b88Erbd/LDb6xlJhJE44fplzXzJMmZf5rE
5WxKI06rWP+LZbp9479b27+8HAxnPOfdhWgRbTzHjy+naW3XQXvzTds/exqOInmg7LyI5++/v392
DRcfmr/eNeBzTuPbnzeN7W/9tmngGXNoDMBnEHgJ7C28A79tGgi/4C3COQB8NcSk/9umgT79EDlj
kDZwur73zPwuGSX/AqKAvSWAXLohtn9r0/DjP0tGMR4Rvi06+BaS793PP14hFgINPIQqvG7WLl6O
mCJE8NWwQFfX0KcDIS4d+KGHpIrb3JnY/RLSMGtI2BXSn6AYVYRnOAeackp1WOBe7h7cuamLxAZD
Phn15i0rzSFtvK39aAsRgCcZRnJuBYU9UNU3dQ9Rllb4xIkxzEwCYThZVvfAUzIWzeRV8E4baFSO
MCUbdFswgjlE4pj3Yv5kPHLLA7knrRhyZQtpVmwAes6MK1xwiOp2BTyniDqOGDQy3ip4XtqheQqp
OuPD+pbWwy0hvYvF0ieg5vwb39Xt5RSuagc3SBZ+1SoYsf1nUNG3qZ50Lpy41MvHbP2ogBldGieg
RSvkpfXDp05S8JXJ3B3CEfb7EMxd3nQeywLlAMZJ0iH3jD0HK69Lf1g/pqTaTcqcvXTeezGcrU7t
x2AsB4xOfu0ZWK5YYQYTfOgUdMAMSDB1M38NLuSyHtYILvJEqwGTi86N4A/J1MqibbuDAMhjVf3Q
pk6htbztBvfMnCmH/AwTIxK3Bm/pJEKAJ5YPcq8dL9klpDt5kfgqRwbWNq4uXJNewFKUUOYqSU5J
4A+3nnW76rUeWuqXY6CovHVWvXR74ckFTG/jPi9rnaqMmOabHwU7y4YZOv/0DcLeLvax18wJvsyn
+aMPvTGvIWtlwtiDXthVKKukdGa77HrNPmeHDJivlhfipg96tbee8V4Bnpxctb5wU6c5icagjGn4
zn17ml26vLasb8BFdEA9AgmEEZhB5ALcjIZb+C2HeEicCwAQDwvHj4XdDhQ2Ta4rO/I8YStAyKiY
mG4wDJG01GRxD2v86dUqhHuoH42GdSS60C9aWJkNTYN95HCQCWA8Oi8qBshruaPYN9r0a95Oy7pL
ZqDh9UL3vjO+8FkdFD42uUykzWDlYpccV/CxEjsabBI7hxUoYedmqZznQbsQVQOvqP36S1QxCiPY
j8FHg04FWQLj49DGTQzuWJ1kNM5YpTtomkmUMdJ8jkxfdyJ8M2N1QVqQsc1SXwEROndQIDOi0jMm
0TjzA6w6NeTFgXGW1drM+97CL9Es8DI/RTi0SV5WjL6ijY7uSF+CJujuV4ewzGEJaBI/+hI77N4C
dnfT+blnIT92LD2utj9XNOnOlRqfia32oLDuHUKwhCXXTjreMpd8dOF6JcRwaBSuzZVAses8ORVA
Uu6MUfsGLh6d+H6oWVo2NpVYZC15Hc14ZH493VWJYaBI2p2w85nosSn/ubW5W0DEw53or29tl2/v
H8O/ubVtf+vXWxvSQC4emxvhkQJRGuMJET/c2rbH+eCmtmWJkA4k+NKvbggsD7QqJQmezZf8wpH+
5oaQf+GZXlvdAh7I+v15bn9HREOl3k/DDxIiyZYtxkNpfJguQF3/MNU5rreMvvbodZWKXbyAlNHj
d6p6uAp0+9Q1TtZZnRYrX05xtYi9FPSyVdMBJTAfoWP6fE6jnAXzmKu4PcPVq7I1raHhGKBEjnMr
OQc3qbA3JaJ9hAXQZBVP0zLk3Tdvgqyrk+lKTyCSPPOCOxQOkQYqjq4zMM6vJG0LB6zSIxh09yCr
5kzFXIELikyBb1vtpolfKZAsGfX8l6mNZdHz0GZjEI4FzsUQzFH1aebxI2gjkq0oGS0ThZMGPue9
atitpfJtdedHZ+khaRBqchXxtWyc6BQBsC0mwvAbSNmCKIX6mkT1NxYPVwJIMTQu/IgTXIFy7Lwb
p4VR1NJL1a3nWnGzrwfkOkbu30R1feNuRBnnwPPnRNu8JWGyx3xgwOLM36qxHvPWmzhc5KTdrSxa
itatH4xZbvi04q7oaij3QRtfQIG6H0VVCOEh7zEPu7oNReGk65m16Ylpe+4Uc3NgRhArtTlSD9kc
qpA+IQlVULOAGTl8TIqUueuXESjZIVXRBPEirnMKNewEB6HepY19d8yynKhhXu5KlxajqJN9MCcO
+J/ggvTesQ+TbrdMVXW7OBJiD7Sp3UJdF/OBwH7pAFOSk2S3ijh7tWkXPIYH078ubrfuRxqIrO2Y
2DU05gDbwl0shx4cnFkORFYIXvQQbGIZZzCjvwEPFDkQVZq1TijKVlpb4Ph9beMZsYqhu4QgsxT4
Rxec93xXc2kLFxwBrzxdGknGk+/3d00VsyL2jS1qG+GCnOLoyh3D4DCAAMvptH6bBjfIunGCmeeE
gMoameZTpeIDr31TrEtyGYswxeBGPqB1QOhIPdDZWoJMw6UchbUtqOHtrqNLknsOuZcseDVxU0MC
HHENJXF70KOFLETnewfJrCMQlW8gfiVYwAqhECqTwp0MLuM0vgHdZbM+bMODI6KXtPa/uo3ax47V
pW/HS0c4HX7PCXSfGV4L678uabjgzY/7uJBjSm7dZdXhyVvxgGeT4eLlpd14xGD+QGziyVJ85v0G
JG07YUwFprNbAh3cxLN4gfk0FlXCkZUa9YR41PJoKdE5qeahBKyUJXPaFErpJW8a9ZSoaQYRC6KI
K5lVAx8yDwbdGRJ5D+eT1dkSyYdVVdcD6S4mm47FpOQn1z00RAYvKzmbxL1ddX1eV7b3G3FiDrt0
a9zwFdzYLGynEBheeOcqYgoP/+6ut945CZo5j4FrQaT0gdzhG0dea5zDs+u4nwR0JZzD7WgKS1WJ
5aSc5c13F5r1no6y3mII5oshJ77qXWKprSYYWlo/SfilCjMZbrxQdgd1H8zT+KisnV9s5XdNRtzR
DIeAJ9ErbVR00iOgiZuWtjQ56t4JXytK/OqyjnizF2mjiymtnkBrkDKyPi6NirZlhevlEKrGlHO9
tvmM666MYBFnuApfpnA6rI3wt+3hwMhaIXaGAXzmVGapqm6Tdb22EoM2FuI1d6D6toQ2XyYEU0vR
wXQemtYvJ1p/0iG+HQhGBGeOdguaww6wDdo87uK7INXvYjGPfaTWHT7F+6QaHtd0YlnvrjdpyM9T
s0R517lvnsU5ruR8Xc/izpu9Nte6Gg9963Bca9U12Hk/XzTsEQcLNYDP2WuOUvkGB5d8i5VhZeBP
Qx4TfsGb+qufzDgN7Fcb+zvZLx2m/mhfhQBnaWuaDHjMA8x1aRRCichSIXCHpQUzjmOSa+pFfGeW
+pMEDIKAPlYygArZ8tIToQfxXQJzNX2QxWK+F2tgC1bh9BuEoDsZdEm2LFoA5+SlVnaFZS32gIu8
XMxqzmDB3vE6Sot2iC+qrr9Ro8vzfp6Bi0J865l/FTIPfjl1dtEwQNKP5WND4GmJ/gpbosyVS57q
xHyrZwJM3LbnubMqM1afK1gLUZ9kuuPXS6QAHmty6iq4+FPd7QD/HLsxeXWDhO8DV9GcOMrLJuFd
yIAHebSYDLGkAoTFfZw2QQaz7QM+67CbVxy2QaLPtUD8QgBaxB+0u4EMp1AnWC05Unh8iI9wunA+
Y2RtzJo1Dr8HaPPWT/HR7/H/6eXCKOexCfBWu0lfDpPSOG7MTnj0o07TQ4QsnnLw1apLPrWp37vR
Owuf7f+ZJzFPbk8k+U/z5P+0yF69/2mg/OWv/TpQbl3o25NAE6ArmA9jKH0/aCWQPFC7GiAJDL8W
X/p9oExhY+JZCeBvYL9uX/odr8EQGiA0QKCAfldY/oYrC6TujwNlDD+WwJCNgfW6uJR+VtNwiPbp
lLDpusZ2eUraNLwcpD0nsu3zaBoeCRiRvtbNQWJeXD+Ygv5+OyFouvQrdkvPtrcp62Smm+VW0/Ck
RqF2fTvyzFtx/ceN5+x5a8Is7NiOwnw6AvB2MbsgkTjOI2V5anq5EzGW1vuFdi+Y3VTmwOHNYlC2
SCP6Y3gy1llPUSctAKBl4wqmtimWjTTQQA5oCvaAbxTC4inwCF6THtuNUeg2WsHfuIXkF4LhvvuO
NCQb3dBtnIMZHLeIN/ZBbRREu/EQPkFseQAi0XxnJaiXRxr0RASMItl4CrORFaZdLWwy0Bbjxl0M
83jlbSSGBpIxAM1YgGgwF+MNkA03pOd5Yzj0RnNw+MNY/5Mct6iplBvzQStHl3gx+lnNirxCaTDV
ro96nDMIoGCDH71DOkx3sN7uk9qV07HDnKtvuSf7Q9R3uewZOeCmP8p7ot0UyslUxSYL4ircB95s
6iyqos+mmuYjMq7TfpJNU6xC3iz1eIXB9iRbdtW7/jnRzk6N88kRpFArcL6Na6qRtOXd+yz9O67T
l38Oj+/LqPsfmY7/aTsuP/6NzvoD0YFlFOWtASo6t2dg4Yz44ez4XmQQ4T+/pBpxUP16dkBMBT8e
uKA9UO1INnX017Mj+VcAlwb7Yxqk6PgFS/d3zo4/pYKgrPpItgUbahEi3bbpsD8I/xhU5roOkvba
8foXyjGcrVP71VuiY+sJmdUERBCi7HEkMteArAroRbr0V3MigHrPQOoEBykxUScf4snf0cjduSq4
n7nxyyRWU27ocuHqCnbnZsRCqOKJ32H1ai9YBLvVOJCKmvFNEKABkxe+Vz6H3+oImtPInm1i3iG2
IvHb4IOIU7gki4kyb5Fr6cKjg6wVWewfGMriKZ3ycHFJrpVcdlItN/4Czcyn7XmyUZCBkX0OkHcq
gC6/Y2A4IQrXFQAtMNGbsckEDbKIIR4m4/QG3vSTqVaKTznWZ8acOWtjjf9Jap6vtPMzTDYYEKtj
QPVuiVWV9YCHQSjYx5XRSx3Lc1d1Z4afCeM0hnPh+3czb2CZU1E20r+sPP+hWlqNc2gSCP0HWNpH
gzxVA0E2xIokgoXnVdI9JRHcTYIZGjt7ZHpO77Vfd68g9h+XNZzPeuMcAz3uW2/GBtUPr5YCy5aY
g7uZgE2M4BrOOJOnoPIzViWXjPqPQY/c9MSBteAZm2XTTGvhRyst1xREPB1SrI9qugsc9h4Bptwj
HZB7YP7Pirxp+4ZgxC7syNu4BGqP6XkPT4KWQzcL9Zh6TN63LgTiD07X99myuxULdRlPnUJKfGBJ
8jZ49VWF6/voaukeYAmqa3+o0utQVONpSas8THGyzjE56GFBRQLDRMjCdLkK6hWWMldi3iNX9TTL
uYg5PPPAqg+w1v4BU1zaZwOBaJr9c879cs7hY//XohsSQfrfHXP4Sz+MSHjw/fYQx9+EtR9GJDdG
FwoeKhLDIPKh1P3fMbc9lSLyQASnvzSvbHDyr8ccnhqIjCLmmigKYs9Nw79zzIGD/tOIBKCZICSO
9kYURv1RczOdhcRGWXA92tDNV2uO8xL2hVcHAKdIv1NYlNCIsjzFcDAgaoTfhiC50KgLKKItfVFb
3IX1wM56Vm4mXQn7yR2yZO2mwo7myg5whcIUnr9SEzQB+cLApyASdNeE9V4u+gQ58K7vIA3V/QKU
GCMR5hP/QgqEm6gTQxhKIQqkQiMXUX0BFv0UIfSFCo3V5sSK64gG195MyrRXp7jtjw0Qi+NqKrhZ
DbZbw+weAfHST7pPjGl300yjk6TVHs0FXxO+AF5eHy0Gu6zxseEGCFhlJBSyCLoqdy0O6rhjj7M3
vTYWqBRr2MGHXABhJsbRxZDU06jQyHkXXDWiP7VNGGTzMHz2UKuAAiksxW1yzcWAshnaX9eR6U5W
aIQZOIpcYqEaKG0D/C2XVlcjUW6B8BzgpT5cPxPfNFcmjL+tHL/crhLs1kdUImPj8MEwCl3Wqj1G
qYOogt8teybH5HrkVkCrmvGuTSzMBqpp3kBrR3xKMhBLHtmDiKYZGZA0CW1Mb10aePu1g7DRU96i
FyegUGXAU3AR0NJd2voQBLYFbsz9fc22yPOKAC+xCNigueIgqsoD7rXgpAtHvgvhNe3COWjLQWh/
r1UgShnUFxjnztBUrhvpHfVC14KL5LNaa5KBsQlLZ+RBsUxLXXpVvOyB4balWzMAfaG3YH7s072u
QfXWdpj2qY+Yi4DWVrgIiN3hNEz2Uxdhrffc+uC6wBCNaQOs+4Fz26JDPBMrftLeElBhxCW7hDoa
Ds+M9VvRrnQQO0OOpOGnCC0oe+qzh8Ufb6BEyZIB38qU7r6qFjgMZwRRxz4NT12KuwT1tqj+uv2K
uC9f5zGqv0hk7LKRpfKwTOgl8C3WfXhx3nUE0DxjHeQTjt97FgzOdEhmnNlsDtFrFE/8vRHA2906
rsC2Cefg6no3RVBnKoniFKRtMpECPoRtDbAwrEFn13NSDJ1oc2Jqcrt69ra20x2ZBZRguJE8b/32
CtKqPiDI9anl+lV7hu10501Zm7bDJUcoJw8sgcTQkyNZZlhPTmygvsjwznemR54q7RSunuAHMd96
HnzA7tuM7ypeHQjorG6hJbIemury4DmzB6mKkhw+5EnCoS3nefGy1EzYWqA6dsh1wyGlJZfSOTkh
fOMg+GLQ2AIZkj2Ivj7FtbyZwZY5Tnw5Rq9V7J8nCG3PEIo+ZqIvbOg4mcRtskjmab6YkMg8pOkm
0g+YSGjjXvh4NdaxszHhZ48AY+6t7aU7u15m0vhxTZA/5/UK6WMU72OMUDoyq0dVL7do7LiA9Y3A
9Eb8g7CCn8U9IIWGIQ6wKAsSKobvhj8uR0xr8RhAxlrwFnq9uJ4cet/a6tVV00sX4nhI3M4UcTOc
+ey92YaQcmzAeJpR0Z03eaDOA4T2Q4CM9QjNaPUgQ4/mEmb000Sg2MdOeJPaOMmUiOURuRT8SQ3u
cGpak3danafaPSDrJHMTVrvaVf01R/oiA37rZo5NC22HjxEMYRYZwH3MJy9Yk0RUKmkvpa+/qTA+
yil6hvISHbnwsnpYvyKYjfixsgf80O2O+WCdhLeCIIyvWI1TJlUOqmnmvEkRljDKAyhMDiCg4Xly
hNj5fIuesIvWH0Ga8farTtJDLIMrj3Z7J+z3FLFjvKe5bT387+iNJZznI58+Rx4De5mhkavlqDef
e9oYhrC5RVTUwb1gyttgOTPd3gpY5B5nDy0sc0bkId489Almest1jpzekMlqjDMBw71CFJ6DvnVH
ODEw5LGKfFQTfG/cx5xlPyb+mKDqCiIkJfLO5cBK/5mNvs9GG//y17PR5cfw7eP9zzvg9rd+G46w
6EXA2n/Y5n4bjvD0DpRuoI8hjT0kWiDt/LoDxv+C24ilEVQWJiT0mP4+HMGQhOKERwLgwQB4qu7f
G458/2ca67shGRM/hMuNPk0CvufnHTBw/BlMbdNce26oh1Oqeefm3IjQgcmA3ptSkEEs8O/r/taL
m2LyxXEdxMEej26F6WZzotDLUevkEeFftCNw8wDwaDi7tlXsudrEaaJlA0Mi9HOEDqFcA8WJagw7
nR8B6IC+rZrl2jqtydDa+4YPTpRHQ3PuoIkjFcqwaA2PFmo5kMh1NyVYstz5nUBP7wKFfyBYuwO1
0Q4VBwqASwodq/40avBLUQuS6U2i72bdfKmg2jthgMPZXXTeoPEtgbI/i1pmZBP76Sb72yE5GLLt
eA3iOMR/CTeLYFZI9ZjNNlCqN2W6WQkogmjLdIgT9JhVcAF69jw1vS5k1DWYx1CftXYuGsWYbGFv
BQ4aAIlmBzZWKAHsOy8OMj92lsy2TntAKKorMS9G+9Hz2rPbS3oX69g+ETPQTMXA8EbLo2ts0H5O
Pe5dIYGEpEDo3zCpEFMfoUqRPtZoAajHHVNI5GZG4KX9OgGu2usDsnUQ3xnQk8V4KMQCKD6eam+Q
t8h9BeekG0Lks9NlpPgeZM9PYewQFAw2o9Ps/LlBgQ/kwK9eH4TFNDkA/ev6kqEubKoS+MoNQhMS
2TwgqjsXKE9YpzhBv99RgqH5gIn91I/NhXLhbooYCxzMizyOoktsm5ejg+QAE7yIuvbOMnnq/OHF
d5qLeubI8vniIaBsLjVLvoXwCHwaX0lhsfkzHTewfBful0BGghpeMavXSy9yIXw1c9l0NaT6EMWA
zcKOk6jqDHC6zCw01VKs9NtqZ55VGPJgO2PYV5hisyiVLA+H6FuEwzKLQrfJra/HImC2nDy9pau+
gNW3xaJlVHBjaiRLuiCrqvBKYzApkEeB/0MRqnUTEE8cf7LGv8u8tIwXpJobdzP9o7RBXQRyZAvj
pnCtexVHs1s2A8xStD+NJ9fVZ8IteKsI5hJvR8Aswn8l1sNQsqh7JDA4Cg3nFLwz7gV9A88EFhlg
rDCFgR5/iIq+typpUVoHA6legI079Q0qa2ZcA37puVOcY2RBL4U3oFRSzekuwaXveiHgaxeCZlFF
mnJ4TGqFdVfHqjnJUauHf+4fv+zWkPz++v6BzrQ3PMz5bfzzLWTTCn+8hWxN1nAMAhf/hf32t1uI
+y88+wk5Xdwn0G+6KXi/3kLwcN/tsb4ueolQq/STjIhHsm+rMPJiaC3a/Im/tV9vuOgPQO92CwH3
iVsRwWWFZ4DHf7AgJE2wiJhEXbtuSw/gJvcMLjmGjxmxGrNAJ/fHCzv5CiYbogGpnW5kDaM3kOLr
EPqqGJ0RHimLyjQYlpzOJAB5zvocy92KC3b2CwYOH+cNWQtQeOKmp+kTi1ZUMyLBm1t3PaMc42KI
wkOiUqxsDtvD4nyqwGDka59crsMCAQrO72Fq9YmKus+aMDqtCQfIEsaXuEF+oRG0fc2T23TGbU4O
HG2rw5sfhcD1IvpoRNRlM7qq0M6CdBD8vEsi4ydbocQD4ezntFVPxJpz2ngXc9w+OJG41CAuc/Q1
fJFDhWHVQ+9ONZ/jNbyTst551Hnxuc1pT3codo2htXYXXaye/YRcBUzUGYvs3licFLgo3nSLukRp
WwBusS45AacC86YtgsESFNP0S5kkEvcoUCyoXhLXA1BQ2MLBQTGfZ2jqvJpbnNV0nb09kge7Gr6r
bXByRY0nc8dfb4KKfPN199BMyw6lA+AWqLyxIdktTBw5OjwQmh5vyBR/YX1FEe1angmH7MnnqCug
AjV5K7naBXwZAeLGkEzW28HKeOex9mS99oOtAh0Q2v9C2OChs8KvcgB/17WJ/au2ig82ofc93N4j
Qesr+p7OZEEkA/XQOx4bqJg9+hn0Wpc60GY/TMkzI9iWpx6BpFbxPTRrmTVCfWtioopaQzmEzbpr
E7QvuBBk9HIAfFBDvK2/DkPwAUzrA4oOPdA+vKJorrCmRxLQNaKslzZ8DKIGJT1LgrWl4gjs98j1
kGMbeaiDYbshoagMRVNQuVhEY3xKln3yXeOU0aTL2Ti3vJvf07WZhxz3kTp30b+69uGYxbo/hU7v
5z06WlOy9X76uC/JJE4K8GsHf6t1VYN9Q4fNAyLPhRlF6W6uGy5dXEfpk8KtLgcBZO4hHfQlT6kt
m3iCq4eeBqyCqJQFoos0YdTepQZdfH4VZGhaO8qUXFRm9DDdoJq2pTU+FzGiywkSSrtgq7BFht/d
ga5qcxdlGOfFx3iAxttgq77V6MBNtjLcrXcN3jl+FobgQO6saDIN0b1K3fVaKXxS6q1YF6GpmwpN
u0y4btFt5bukxi9QkleNVt5R3fIw7LIBhb1JIqqjJerKVgjpG5T6pr56D8cWrbKo+xWh6Mq4GZvC
sU5TdFsr8BwhCRX2ES3Y6uxR2lqvr/5WIzxc1PVxRLUwV/0CnBuXgRHV27I10fhLf1ltjcQS1cS2
Cw/SA2+2oLTYoc1HM+Ej40uFaxvFxmMKg2NrOk5RrYZGj/YBDWef6VaHTC2uO/Bh+1BJWobIQWVO
h/pVQ3t54fg2uvTQrexwEArWoDEo2YqX43StCruVMYPhUjkdkOlks7k0Q5PgZo3sZ5vyezbgao5C
6h2HtmbIzuMdR48Q2viW9VZVHYEvC55gFGbNO7REB/0wQSHCB4utPYJ/BmXSMAcr8Bq6LlSvwwPi
9pD12KlB7RZcgP5WhMG5RTu1W7kP1VZ+6vnmVG11qMiQYaIY/5e981qOHLm26K/cH4ACLmFeYcqw
DL19QbAdvPf4+rvQrZ4hqVZ3KPSqB0UoZoZEEQVknjxn77XLpkmAJyjNU2qj4PWNtjASt+2TQ99T
BLvdoOUqXN8A3VQSt7j+w0g//q8m+F4T6L+dK/7IbXNem08Eyv1rXbD+8M+64LvW1dRxcOi2uSKN
3tUF7PhsyitZ8fug8K+6QPwD8xUnTnAc8CVlnVPnz747BnRDhaOvaRQHKr/2P6kL8Je8rwpgiyDF
hc6qYhw3ND7d2+GiFtEng5Khn6P8ZWnP0/Rj7gzV5deGdH31yn+4Aih4hLTocpkXgNF7f4U+aPUO
DnB/hubmq2r1ba509pHkRjTdNzhFXpM0scfDTq9fKvaMQnfgjOi4VMgzJaMEPa1tC7PZSa18l7Ck
6231RcqAAapri6yZXEyXzESj7BKFv0iP2tDVeGdzFhdnlWeF3ERXRHU+b7RyXiCLyGI/cb77Ngr5
pGlAfDghxCaLepx9qdWVUwEwzNdblfJIDqWnBJS6Z6f65z6a8k2nmKGrp0BNMV6UNF6tS1Rjkp9Z
zZPdhJqvqBzqKl0frxJYyTTyy26j4Jl3oGEdhiZ+SVX1CPLFs+18Po7hUO+yotwVRbd4DWjFQGRb
TB4nmrSasyzFiySPDFT16VueSpfdhAECnjNnbN3yUKfemknuSHK112r7JZUlsIH9RYcXHWXJfD2l
1kWyTAUlReMpXXpRm+ZroAyjw2q3C2lf9Wn82gHLY3VDPyKsHfvNpQTzkvMHEjH1GSDchd2bu7wW
R72oMSqowynjlGrkGuPEesexnDGIbj8kKAbR52VXTcA0oV0YxsTyc1WrHR6/hN1Uv+syTkVMcFKc
sPotBpzSjdqJDpsV72ecv45IsPkGibHFyd06pZG+9Lrtj3Lj8l2sgv1u2IBJucCe5tr68KiXmjtG
4my0GHW75TKN9ZsoDwrOu/nW1IdTNDb7ch734ZQ8RgMqx9wed9kwHiM1uzWUEnF3kj0COXmg3/9o
BP2mbLCrLAJqY/Ni6B2bX2dvJa19LvnjEcVOW2levqSZ6c9m5DaB8LR0OlZjYlHm4OHR54JfatFJ
1c3ACQ3zhbcA+W3yHAbrybalmS71PY9N/W0uk53VJb6uVS+rwlGS5NsWUaOTBok3TLYri+zTkgbX
Ka1PgObhMYUgvKWHiSdfMu8i4H511UduGIeUY3n+yVY40EpVNPgW5vmTtcIGYipRT6qUwRPGbWLr
Tz3Y2o0EsAu58fr2JOOtrCQHqUcHqNa0UEU9NRQx4may8Dz1M77dAYPOWlO0vp0h0lZ1eC9ja5xD
0Dl+LIwHGTk1iILA+gS0EM8Vkjz6spXR834D/W/dfJbwnyTxEDOOi41jXRlQ/rkV2PErrEUSepmE
hpQHDL2BNSrJfrdQvkD1TW9Ky4CqnveYUJh8WBHs265uDh00nUqvWtrHcBgUjR1aUet2h2wj8cO4
PxpKiNwyrYqtsiCmhIboL5OKglDPKr/s1moqj7NLk2k4tbHUXrP5h24QVJ/FMj80gfZqpuh/NOWU
oHB0bfT73pxJxyCFn69kisDUJiZGCWV+W4pe4lU1g+yxT4ubcaC3QrfvUmdez8riNonuMUwlOqIq
DgiSWRARHyjm2qmmH18hSWeNugjx30MeJCwAZdbSHbNE2kYC5W8mP6bN4GrgPUYb5HwxpS96Egin
pd08WoEB2FCenECPzU/VCO9owTsHFwzc6V2q5OMG//RWM8uYyVltuZG1pGA34ua0WOlZU6tdirdG
qQ2U94yYphzC+zIKjyVvrypB74ekJuyzebg3pOouV3NcYE6feehPIh+iUg42oe/xUhnlS7FSFtBE
f6vbSGaeRmgDl9OZERn6ZallnCHn1MSLnUTDttDzecvSHz0GNVdQ++yuyLWYkke2L/q5SS6yJDwX
tjBAwmnWnoFq5OileSdqqMOOzkEV9QZIg1kPgg0DpjsjmO+sQixPoGyZPfVluxF9qDjmOG262ZK2
lTxQvs81I11+0GEI2T81cWZtVqIO9quY6QCt/26nDwVf8VhtNCsHtJaXz8ZQ7Ysx3kzm7PctJ+rZ
vEjr+V6OEn+IISyWVXTfZyqOuto+gHob0IcmjVcGGeiqPgF4KcvPnPo1T5v0+qk3KsWrSpqHacSD
bjLWQvSmPamT3d0GqphIKJBsHP/y/GMk8G+3Z/Fuc7ZW8SNGb0oNe1Ur0cV+vzmreW5A1koK6K50
e6dlL4zxemzazZuGydUP2/BbLM2qpHxTBPy8ji5MYWrI6v+lCACijKkwKs55lp1aQ71nVbqy8vyF
5bIB7bGqQeZsN0wVB8F016rRMRpUkCXFgZXqKILWSez0OgqYKNayr0UgI+2Og3PwtewNWqW8Avpi
nQ05pFz7q9fzi4/+y0+OE4iTsS40NGLv75DI+xI1XgojGTlVON/JCVDZ8kcV/W+/Bvt9c4b7g/RC
hyCObIx7xIP+/iptj1EjT8HIg5Ft0WXqe61kYZADkAzJMAg/kIYnAOfldWHzDCKJHq1xVS1VLFQa
FoEkx6O/9Nd9pNm3BbtSXw5nfEwZb8nIVq7CmRRleI4xHE6B4J6rvDdGjhhptsVyI5TsNe0yV8nC
eLuMNQYHxfAjCCl+2mmfpUZFmdmsc6+aPoZuK25Za8zgm9RhK6K0iYx9vahfY918nVCV9pylncnM
TvOCQtIE0I43akxOclTlzjKhpQ+VLkZhkJjMz8KHoFfyu3rknGgr4VHk68nOqLqdgcBzKNniFBq3
M5R/v5LVS1xbBYc0xAOKlh0D+bUHAifMPevisyWByDBHZTcn+nO2onmLqlicilGchgp10Sk9ELim
HgCX0pukfNd0uWCwOF308vCagr/7PGdiKxvg38wsOqnlArajrTex1uKAUaeb3DCys82gXjGW6VCb
7Q/m4r99HJRfPg+8kBaPgyUr9qrIeVuWBxqMXv5ddzYV9VWz29xbqiE7G1LdOqynL2EriP1oI1cx
Js+Ks8ZhRT1xVwC1RKm5I8fl1EHQHRf1JErrSdOLaNPmosYaJmMZEWhpQug3uKYHy5dLHWAdm7o3
Arn1sJBSj7AQyXmJnkTUt7TIJ1eJ2pLdoCdup6qdoqo3kK6hQhqvNhIhnGolDLqctpE6UzvPoafB
ZTJQMruNYDzfjMZTYhn7MVC/GOa0omxYBnDVGsV0F9jJ0cT9WiNMNMTME1I5/azeimE4pUl0W8fi
JjftrTF3T1YKiYa6UfaNuqcWZNDT9uNA/6/FFJagEECg6CmG9CrxTLiVrT0rmvSkREMNKQjGeWTK
m2GREBZPJUCfZivLyR76oa8ifWM38vSULo5l0QSk+zIqQ8s2jzk26+60sTrb1kTjYn7VRvlzrTWv
hYl9ZeZz9oWXDullCdLKLIzNWOpeZNJRigvTVe34Oq2kdA/03Ifd6xsZfrXqe5hTyLmEl3GQ7GtU
299iU1ptLbKr98mm62DMGG2ERrJzFcWAkK1tY63mW1IQKTLFcce1Qk376CgpgZ8q4yP+o9VodiVQ
3YRRiZlJOuTs4tFI/o6SPQ9Vu6GFVsCc1T1lBQFlwbjp2N6LJq/gqtT0nFJpi6LjsCS4TmwATqMS
jm4rs+guqrJJFMsRo3XFTHsXFt0hHOtjYaFA7boMiHWFh33OzAs9HA+VmqBxL+G6a1WsgIEHywSK
Wmo5JWQGcQWMNXqzgJ54ZQjaRyN1zBmslzFvSn2HvvqxkunN5PLJwFjio/I6JhFU2SEIAB+qAx1Z
oSiumQTFdhzwAFM37MjqaWGimrtmoAoxyxVgEUDKCBrlD1vbr1buN2+q9mEyq0b2nNhVCoeafX9o
T3lB9tCQo7y9TJuTwonl9/vReyfBj53i7fU+HKfVKCo4XbAylOVXhSCC6Wa12YdPo777/YXWnJf3
ezZ7EqNm6BOMnU1drDvjG93x2HZDncA4PC/KTK8tnlo3DtQ70YbQnEuJZ45GelXFhEgpsnKyVu+4
kSDJWJJF9kd+r9sq0jeiZK6nQrMQ9PcPgCIvS9m8zSjfOPW4XaveTiF0h6ILN3kXvzByeJSirLoJ
exxgIoJuDqbpIJCRUFj4s0LkFyXetug085GIk9tqwfqjiYte6/ZAQQ9LOO8F2H60sIeGbRvL1CFV
gRAwCsVz7uK0f8yrhjFdsB8rdCbZhPxG5Phd8XQRm/BcT3bzqK5cCYQj4R/u6vt+y4+v7+1N/eAs
Bn9RxE1gTWdreomWT7P1pxCJP3xpHzYOWcqokcN0PsfWbZXYTq3d/+Gx+P0FPgbe5Eaeyqkazmeh
XsXYyrhNcjS7v7/Ie7nDz7uErJ6SVBGW8eHRm8wWq67OX4FMBnFQN+bUJPdo1f7wbajvn3GGYiAc
EeorbLVoWalM3z/jM5bYMVwqaAyO8plNzbvLNoEn+cRLuI9O4TzuDXc4frpB2Pww+a+ZP3/ijW53
2v73f/Aad/ovL9ub1/r7B33zstlDbFd2yDKC1tyTXdmfbvttfh1tbN92s2ajbLnPG8YxDqJL3/aq
wdfPxefffwrxq0/x9ulcF583nyILWsgUDff9adqrvul0G/vKdC6hq0Te9lG4R8PLt/Y52ky74lbs
7gIv3E471j1n2RJ2hDfWST3bA5KxI5jkMnKiyQm9B1TtZ4i7W7G39+UBG899vrn9/UfX/vRifaig
JbWNM1KWeC4dNAKb9mu1qe4Ur3aJ9vMiL/ZxP12U26vPR7/fo1yZ3OQiceyL5Mys0A1wyTpfAvfh
959Kfd/8/Pkg/7WGGh92B3BmQ2MafKpobzuRu+zybXBHzlqKQMUxHKD57uzAyj3XO/WFRpr/++uv
j+8biNP3YwWGuL/eow+rDUuNNLfVPJ3lpfTNcTygkzwPPSON319nXVV+d50Pq44VW9owLBls5xCO
7vhZnnaj8WnW/FruaEVtfn+1X3/Vf/1VHw+TUs7iL+qkP0cmgqXgpgqv/7sLfDjzaZOVGUbOASoV
BzWhD2ib3u+v8IcvxlxfxDcvGvMqqyAwcz6XAAvzdFOpT0tv/eFb+dN9+rC4tUrWMrRNuvO0fiuI
ouwpcf+7v+PDA9aXS9sXLVDvcZjc2DiTEIP1+ur3F/nD02V+WJWMIJRmmnPsBpOB56Tw06y71EiK
MDGxJ6N6HtC+/P6Sv/x+BOg7ZUX22uv45e33A35EC6q46896/q1JNikxlqmx/f01fvn1vLnGh5cm
C+1WAngznQUjV0m+zvM/dBX+dIEPSyI++QnUaj2cZRZtmtGplv3hNn3fH3/34n94jtGXW0CueI45
Gzi1G14Mu/TEEcG9aNzIDy8R7B5+f9c+6Fh+Lql/vf3G+le/eXUU+n9Kp0bsUU80hgtW1VPItZ3x
laSp/eBcMXHlXzjCh43hWNeSc0PEK7v61XN9pV1waodUhMzA2RVutP3Tx/vlRv52yf345MQN6u6A
l065XDdyycHype8LxXXSre49Fs4FTInDN/nTaom4nw+Abf+weq061t+uxh++90Fqjai2Z2oJDzqH
By5QBU92yLwb+2wctW3vPaubwCno2G6abbUF2fmHFfpPH8H8sO9BWJX0Yqy6s3QoHdhtCIS+iI3i
mYf+67Sr/PxobjGvfYMI5U7b9DL0kq9/eE5+vfX+9Zx8hFimDL/BqPFoNptpA+7Zideqbp+6d8Me
WSxpss5yBnjwCIHdyzfV1rzCqeL1Pt5pJ3rJ/rBSfrd4/8ur8vfr/lHCa0k2syHi2c+1r28NsHPe
tFk2yxHevPM53AcbVIb7akdT7zi55r1vUR0UfrdNN7extxYJ/ywO/odeXNXTf7V41wDWdwHm59eK
FvDf4ac/sjrWn/k5sVfVf8gGEEWCAtUf3v+/lXzqP3BaIu2SgYpixuXV+lvJh0icIfpPvCJv5c+J
vYWJDqgare9VY77GePwHhmDEhO/ebw4tYLA0xOBozukYQ+R6vwI2dZvrYlCXS4LvcoZdHSuJjai0
EvO9ktTbYJXfjkrtBVX/Se4J512du/KkH1oRZF6dSvfQADxg7CexQFUXHcCbIOscOYwvDTg9c2Bd
IRIk5FPpVSIQ5C34tNOoiWOZl1tSlHZ9ol7ikNcdy1hADIYM3VDU0ror+02nKV8lozhAqIRfOOjh
yTRSBhoVxGurFv6srpAZSd7SqNnLUAiBD1gPZqVdtWp2KdC2g3op6GpoQwZCZGZkB9VjFvY1M6Db
kKymAv4l+MSE4XuGTW3udBRiYUJ4eV+9Fh3XmcWwXSTMbBp+XOTRu1xK5U2IVoboijHyOzuWO9Rg
FT3fMPXVamReTFveY6zvxpnY2HX2CXic18189Gpot32Np8ctsQpOC0ggU4425ZjumqLwp7CjQU2P
rtEzZa/O5UGTs/hCgZYVFDPZa41Mmz6FU0WCkmuPxi0hSOj1rIbsZ1guxGw0+iU1J0Olnm7KYhuO
aEW2xw1AWwlTFNIAVA7BSxtad4lk4ZCRtJ0+B19lHQF1TtoR2o7cw/MFqQVLzZqVgaKQqUmd5vLd
bNnI2SaxR3o3eXpY3SBe300w0NwIXaEbLjRpy7gN9gb0LkeRU7JbEnsTF6ATliie/ZoMN0eE6WcS
J/H41CtcUlrUG7umEbiI1CfxEQqNrESe1Cm0V0fZTkmhVvMTjPICqaAkduGa1z5C6N9XALUnU8eA
hInaMVQzwZ0nsnrX0FwKbi2AWheKEX0hTr3yrSC1L5YqihlONPumDu+I3OMc3Kk7Xapgana4maJe
+APseCxI5aGwmlPb5t/KCYuavoy4HIanqp1Nh2S3h16tcWhptuYOQUXyiCX7YBSPZL8d81zW3cZK
QC5ZMM/KcNuN4lQsFq+E9NCNCk3ZcdklKsMIYl8ucWxte0vZiBhzAg2L0kGGv01M9ZjBVXTolr4s
FeGFcnpvTwS+5CLYh2ottsi+cjdRkEo2CZPJOCpebTnF8y3hRgrhatr2qcjsXSeG0h1N6UscxPdg
miixJBoQiSp/0eLqgUw8TwozLESWqrwOjfAlRXoeIGoTcGLhtybfRpmN9Bp4+0tXDYeWlqG5tIdZ
VLT19EMYY6BsS3E5EQR/ov27zcie8yvTOBCQ5SIwQxGrRjeM/nsnjecX1bxLJV+frUMVxxsbuxgD
h5h89kq6iwdTgVCSXVu0sF21bJ4rqbtJjD5wC2m5igR6OkPrPG2k9Q3DVJKM3dIioekCWsRyA9eD
3oOTRfYJ2/HepJeOa9ztdb51dWwPgzmF2zRfXmwDZn8HttUgmkEgic+kJETuVh/7cdnbVfxJFZXs
kHDoWflo43ZJbrtMfLKbqPb6iTFBUZsPGC8LV8kDXmJa9sggO8whrIWOvWQTEXIIPX4wvP+3465b
1L/fcb2v2f+dyRKigvu47a4/+Ne2q/1DKCZSeOWfGJ83QjkdrzlSCOyk/yRq/Nx219xxWYaFbNCi
hle99oX+ue0SukLyIcRIIJIa8VoUqf/Btvv+RChkHfoGfUIoQ+B79B+hKG+OHUxHkjZbCvWqwI8o
p/HRDFNXG/40kIfZ/m535y+hqkDYZzOTZyD8L6NywmZT7LnpeCWEke67ULZ0Xyz9RR4j6ynVEJQY
CwJSrvKSGv9Yp9W9qTKZrVoQirikOpwpSorODFgXCB1ylxG3OZJgo4dS9zS2FZxHKwJes/rKoza7
rbigq1bZVSnHQFLNAghgrTJhIqLQ1bBE41m2DnU+ucS98Kor7eLRZcaLnRabwBg2qi5AucHj8Np0
wlhLC98yT9DwbYc/8ynSs9JFIX+LQvdGyqezJIkzwjBwWiM+TaLK94QXnscgDwlnUjCAWRm1yADM
csXK9kN3TQbihiT1R9tqvuIqegnz+blZdeopoyOPTOEr0QQHw8zjDe3enWEHzbZlOO1qTXNfGuEu
tthtsig6cNj/VIxRuhlyufKMAX5HVk6VJ/WrORql8Ebplhclz9dYrORSt0i8YhxM+aJ59SpGM5V7
dqlTiTiGwcd8Y9b9lpg2bGmhhAOfYNpR12KSBMigjVQBz7DK2KNQ25j2i90hEYe81tfsBm2vp/AH
ZY/+HUVQm2wRh3+zZgQ7siFO0tADzS0AABCnA+ZxPqsj6Zgz3dgxUkjVULIrwiiTjaaN2yXXT2EY
hPjo9K09cG+jkZJQMkCCVugCyXbbgUq4KYtl9rSlfYgNZXFDggkdrctu27Hfo50cvEaTP9NqQeow
zg9ZHIvtpC2X6lQYGMmTgQzF5ouSqV/UMQMpPSm7MmOlFroCX3rcQkq4ztmTJrM0jqa2FK6RFZ+X
pHqKTIbVuVHeQXZOPL02093Ya1vTRB+lBRuM0EQk8ohFzqRTnynslq9FUobNZrEkcIrCQI6myFOK
oHNWG0I5idksPNkcN4qFNUypm+kiy0SLeBw2Z4AwW9e+UIXsY6Ew7UWnT5B9NTykQlu92WzlCCLi
Fdg8KbGXJupeQ2iugDnoVheCVb/CJ79RUukrsQypU6OLKnkaceMPBN21HTGlo0cFqOyhUMIVGIej
1YD7XpMqwBtSJLVDvPKxxmcjMVuKxOoUxnLgttUEE33NJG2PVQJspmt349itOiWkgXbiDolMdGtJ
4cQrqxXpFZTkQyZJ+yWjZxCFUYR+bQZ4McRfjBFwZTImGimUyg0hwQSjdF9TyOUuR3CnMKonyJT5
nbmPMHumnbRjKPo6JfLLImZ8fdncOnP2kum30GChBPQXVbnSRCFnEyakbnAERLbeoVrX/FHTdwPR
NY0SQWRAj4CQLOk2sgKnIhx0BF/s/lM5eoHUUHaN1bZXisu5HJ+bkjIhnvWHrpOtUyURSn235s6F
lt4Eu1JdQ2febDBXP47V7wRHH07/rKKrcg7jLW4riMUfg7DattX0YDbmqxH0p6Nvg4vptjztE9rR
r8UjHs49nnAnOEDX7r1k+6d5zvsj2rqIc3nIxhz4kD7jkP9wRAt6MUhGv1wN5msV7G3a4Pb0IqE1
/f3f+avrqOtZFCGcocvyh26T3bFn4TxcrpT4GE2tk2Vf7XC/ajR+f533u9+Pv4f7yR7IKBcx+4de
ZY0FRvRKJDOiPzQGJCNMEfrj76+xiuTf9q2+37S3f8yHi/SRLLcqjKOrYdM+4L70h538xfIsYKen
nGfMuWl8SCcbdXd/trzMOQ+nePPQ+oF/nVyMzo7UxGPn8R965Yb/+Q+//3zqejPfdHC+f76V3mdq
iD2Rsn/4fBn59mDqZeUKHMw5uJZ9+aQ8hhcqzhq3p0Vz8axsJ/dcb8Ydepj8gOLhGk7GBi7Vj2bS
/wrJ9QH+94Wkn/2fVzavX8pfFJL84M9CEscF4EZbxnLBzgl08U0hqfxD4Stk0qoaNPfXVJOf/RuQ
5Iapc05Wv7sq1r7z3/0bvnvM90KxVmcnRet/UEjq6vuXif6Nxe9hZZJ1jXeJ3/t+cajDYBISqqJL
UpQfxmJmf9JqT6L0dcykba6kJQh3BZvlk9A539ocjBHrk5Fj5ZCGWmkoLlA5cB5bWKPlQH/EcmVi
o7AQl+I92Cw6UJ88XtDSN8CHOr0vOcDbAz2KdsR2tdySL0/+6mRFRASY9zbRXewqxcZYEOmaorxg
QQh3jWbuu3h6DAC2guupbjkmzVgyYnunyOHnQmcj1OQDxJpzKXOAIktCceQmUTazUGiajNIxG+Pt
XFNo0NM44NZ7Djr1ojOqlvz6/lYewmxDbhtHvNGQHTA+nwwyXXcoupHcT2Le2OX01SiNryAYEg+Q
Te+19XCyJ+2poM1xUfVZ6aBwfVWH6DpC57jnY362i/wyReHITNJ0pcgoy4eJCAWfpWebKmDSBEw0
uCSbsITfEeAsW0T+1cgUf1r5aWVWbXWIamYz3oyIenbQ2S0yJgRh9SPhXUksGX4vTZdmNGrg2NWH
GFrbsGLbaBh+94OUqOOAuiXQ3fAZ7DWjeyGdnXhqDQBcDwluWZFwljw/WBkiq6upBWVZddMCdYUt
0T5GUvVt6SN8EDgh/TbpdRJKTHTc68k0j/HD1nFi76t6jq61VL2HQBITQQgcQbUiZwlT7XmRTQep
pW33d72RhWdyPKqLhUgvsraldAekAb6yfKPgA6TIsPA1Ygh1Ujl+WI2iHOoZR2oS5jQtRLpVGdXk
ibJj+5TKqzAJAseg90F38s6UoAmMSfOl7zkYZcaF3hfcYpJ3g2R6rET8xdTyYyAhJCuUmjkNcktA
xv2rDvub8AjtWVKzF8prdPOhuQXWzfw+SnaqjM3ULFtv6hecCrDA67UPU6TehGa0yNKjEZgnpQft
a80zQOPim4yJ3ocvYThoCOHSpKFAVZd8Rgv4JFT4ONF0k0XdcR6kO9zHLx3bJYcEVDK9dMDvcJa1
4H4qksM85nxbgfoQ5uSARE1wF0zmAWc+KWRqqG+0iro1texzoerPgTne0y9eQLJnCRZ+Smozlj+1
un0zNsgLqobuKqxTyxwuR0W/0Wb+ljyIr5tW2QO1dRngX4TV6PQGajlJfArn7mE9roSFgLklLqN4
2WlNjmg85sDTzk+it6xtEsL3T2MUMixz8BFrCWbZCgYKpoG44rh5atr8QrMRJmrqHrD9A9h5VFgI
y91aG/cV/AKXBxacl5TdwLz6VGk5gJwUMeliWNs1XN2HYmP5QVe2PqHQYBdscmN0jMpJlSf7wqzc
qVU2lgrUa11xWaWUEjzGcFUipXVUELSbfpivQxmStUKQiswtYE261mbjlPT2Z2GsTinTuId5ctL0
OqFfC6NpAL5ACiRLXBMt0BjlW9UuNpkJMF1dW94tgDVbEdkux1+rZB1aVpqArsHz1i/hrSLrn8wc
Dk+oWidYuME2DCVpw/n9BppHA1yMnuesmp/UGD2xUmSwHI3KnzUEs3ms6gAl500KB6jpluA2qRck
nI1yV8QDTWKigz5XkXQ2ymFAyMkaEcePYzRcNna0y4X1baEE9jss5AC2ZIBnIETcuBUSqUPtkj/m
kOTC04KCio45rHxdEQdhNXc2nmBwTiaRxkv5Ui6xjXV70OinLU/BYKNfHNpPRifV7tI3VzjVzlGo
XGoieJna/pvS49TQiuYiW1Q/DfXM7ztx3afLiQhLMqvlpuTvr30rm44y+a0g2VChiBHDO/bhO22C
fhUQ+F0mD8lA5zJFqM6nWZ7sdDq19fyQi/Eag9MVzwM3Yerv81Q5LwLTKuCJzBnkYtubGNdXx0Kh
zWeFcAF5Sg66PN0XKkHeurgywtarbL0g15q3GosP8mqDY5nQ2eQMkMBxgiSwkBHFssZ6Y1ztirrY
NUm3OGbesuwYoDcNbXaEAtfYUDDAGFWyXxZL3kvpuC8SgyZ8jFMbnJ+6p2Efe3aW9H6pVagG5IbA
KbhzTjjRJlBJtflejPyvKsNi+puq7Db+2vzSBMtP/SzJVPhKhI4hdMefLL7DH/+CYyiglyz1uy8E
MMVqQfm7JDNNHjRLE1hhcMP+3dsj5oxfoq76+HUUxlnrPynJMNu+K+0pyfC/InGlsqf4U+2PKt4F
kEOklrF8SUcRzkwOvsBQXsrwi2xTHQQxBMriGFs84PFoq8ex4p83qnlpcMLt62qD8e2GuIiXtl1c
eZZoH6fRU9GIbV2ZN2yvpwq0DwbLZ8XQsdwRVbGY6aETZusg5WepDPv7airumKnVTm/LmVuTxYBj
vHoOktgzhHoQAAlzpX5dYKYqyfKkwiZw86m7iETho+wx3XSJd21f0xAolif20h1trhinanc1mdFz
khf3i1Ue7aR+YsTJ3iHUb9JYPGJNf8AbRvnSk1VqS5vFXK7IIiUdrK62lZ307gi524o7asaAKGAz
GCkMWSSkGQptoW/NWto07QDCMLce6lGlB9jN5p54VMUZA/2QsDEj1JF2xhjjdkMAu+shnpU6KkOY
dmNl3IxVf8NMpLnPxPyaVeSWGTW7YiQ/yrmgVCIVoJKnU5hWwhlD3LYiKXYdmzt9jv6g6+3esJHU
1YG4mJUvbVG8hEF/P1sChA5eXXIURryx+DeyWjtlpv5VMyvybYVyD02KokTWBwBvBKy0IXCJcTCI
Npt3SQstgrzNaoih+3HPwjDTvXFmJWqIiOuG5txNnRL5gZmU245+0nToSlCei17J3b60wAp1pj3j
Y+uSxKlLucHyFxPn4tOg6OxX8hhGmhJC7TwjlafcmTSop27O8ASPoR55YVTXbqXbp7yva4wa2uci
auAYBKSIkSAdOapa8v9G2RuX9jPmVZ1w1PqbJeBLzjhI0YqzeCow4kOBs2yp5oOpmWcpAkjaqRW/
QzacUoqeskl/LqxppFE73FY9GcG2VMV06sSXpGq/qfP0dema2SH67SFkRo4cWzuhDp+pSNRDU0ix
n4yd5jOZvppUUu00O93pUfNMEl630ciN8UVgPbMu4/zQDdq+5vgF5t3oFNnIJpATp1SQwePKiU2W
Uiidw+ds8IowvCim5Is+tZ7IeV4K+MrpcjCKYpuU1TUsqciP0um+IjqJYLJwm0W4J+gm4vs2HgOA
lFvBP7HwRYRLfU3WuDvrUnsc2+dC0C4MZqkkZNhcYo9fNTkyWBnyySRoLhnFboQTspn+n73z6o1b
29bsX2n0Ow1mcgF9+6GKFVVB0QovhCRLzDkskr++B+1rb1s79UbfBrqBfR4OjuEjlVwlrjDnN8fo
F9xQqImF1XUHpnOXUEie7Pw0oZMDTv1uC7NepmZfq+tqTOrXf/eVr4wFg3LWn9/2YSz8tzXjM69R
8/oHN/75i39sL/qn2a2A5MFy5ns9e8iP7cX4RHmMTjmDjPavN37nEwMCc6vlt6/6fuOH7McmMM9e
fWM2/bMb/8fNhZc3TSxn8zZGR34u4v3UOrJSGlixX0/nqb2vXB/ddPs35bn5O/xSmeK7qvS6CKAA
ile/bm8/vQI9Zu5nyP5gJysgC9ZWCh7E+oLp+KcP4A/Kqr9uk9z6P7zOXNn46XUKRSuJQVgAZFk8
tRqE0pe/foEPtZHfv8Jcg/vpFQINTBAzjBotB2fRm3eOeKftzVp0Fl2PK0ddNv1j2W276LIF6K5F
bzHCi+BSL67anHBIyUz4hc1dHWos0KirLr6RuKIHkf3NW6Hpf/Oef6jiGBFaClnP74Wx8rm5V+V9
x8WLsc2z5MDgAxaMxncHJHLF/3Tt6G8CZV9rrh8/dI2ilE0D1LQoAP/6VuWIh9tedcYzNQIGqzRR
p4eEhBKshdLEVkGzDoUFCox9TWXY6uS1llKVkJBzlr2K8KKe1Rd6yVUNr9g8UN529SbNHvTM2HMz
aAAfKrF2NxgZBfJExCTSXGZu43hVM6NdwjHS+4p22UgPAxrrdO7taJUFJNgqhcvstKkHcZnpl6CV
13730PiQh5pbMixHWk6YmGyvBwStU7YxqJc6TFmOcekl1m1RMt9mA3+eqpo3UVt2Wndw1Gw1j5VV
D02cLUbFWFQyZ9zdvIJvGA/ZpqcmdJdZ6aLEMbIqxG1r2h6oxkXcE3+yosD0zKhCJOYCeS6S9LFl
hinLpnohmC/2uDX9Tf7266nxt09oDmr98uCbHx4XGQlowkMzndWNsfV306G9Nzburj4zUHhotwxG
rnDOLeGSkJfdc732hkdll6zbjbqxqW3HfzNX+rsC9ofH1/j1N8ZM087J5l/ZItnB5wDvUZMQWlfq
3yxH86/+b//u3z/EHxY8eG20qkJeRwGfeDt8qYJlhPhB92z/bx6CD3SZby/180NArffn9ULwc9WG
iPRzaCzjy4TO6kAcbSGbFYLX4Cz/7p/2RyugRp8a25QQLuNDv74e408DJC5DP0taWjCse+Xyr1fA
X4vD//kP+ukFPrx3ah45eR/o+rnpvY4hX6ksG4Zl/89e5MMqKwZhY+3jRUR/MVVUZG91++mvX+KP
tqSf36gPy+PIXl1j/tDP82zwAC5Mta9FfBIcsb6+0H/1rfsYMYrcFO/t/5i/82sBVB9VZvs/f/1j
8+3PsI3m3Ogvf1jlbdSOV91bPV6/NQz7fu8BzP/P/92//M8AzO1Yvv3Hf3/+kkU5/ue2jl5btpff
hWN4z/78eLSu35r8D85FKl/1/VykoaKxOcZwNGBiQZ3HGH6ci2BSMtdJs4P9A434T9du5xN/JsbK
2OSccZ2bJN/PRdYn8jmMRVhgq+Z+4D9iTxGn/WWhYIEUum0J23IdjUeJusCvT1OSQcRHReqcUCjv
g7bq82Mr9ZGp4KwvS3C5UTdtXNlAjgmzYPhciBDHTCFykOptHD4ORnOThdXohSS9l7LtNpUMPNrf
BALUXPcKLeV2I+IXY8YRGLkVrUaFeed8sk5YLxA3pspjAdoYx8O97AotuWqRLNzA398KbiW5g/oQ
JAx3iUg5JX7uygXuRnwCSvA4lm14iaUusi/DdHQurdwl42Ci2SYcyO9P4Vl+pua3tqMYa5/yoFw1
g+a350ppQmKI1L8R8iXyPtFFiNEiKbZRGMcjle/6KGNzLzvr2grMEUh5/lmd0tvOBNNehOUrNk90
NGH3krXoweoZH6QZL2EO5KFWzJPd6VAuh89dGFlLgz6M0iueklF5C2YSpFmCG3FH0FRNjgJSM8N7
wIMu8YwENp91k7j4DOMSQ7kSfeEEfZt15ptq4slsMt4Uy22vHHg9lNEgV0m+P+WLMnkajYDytIy2
6kQ0opoTLlnq3lappq+LPMmh+c1EmFjfhlh68r6vvUxGOyOEjGVloQNJ3wGfrCb5ipHxlHrduDdK
/crXu2xJhQZOpqlvgVBrS91lTFyMg76DkUw2p1O/qAUC0q7JlopvMQbvNJssF8+Mv1/YwrloDOTp
kQuu35jEDXge7v5hsx585YslpnWqDjtUQKegRmzAkLhX1pO9Zc6MWU+/fG8LAhF2BFu5U7JXGYrB
68f8gV/pFghZ72yBRCVrfr2uTI0yT+sWp9aKFdo1/mUqSC8FBYGgULv2S4VWMYVs0ti1tUTB0Sz5
ffNCq3ggUg3FIWj3LZ9g23RrTmfRZrAg29hqVaymHG5DP56HyrrXmvZETvo2botkGanN5ywIr0Mz
RBmrdhstsJUdtVJj0Yf19ej4txgHrqYKkgB8h9JDmhZAII4oS9T+ZedPzOr7ys4YlNe6UkJPNSFj
jxa14UkTGDg75HSB1WxcR4UXYI7TviidczwWTOhTYIFokxvLrCdAXpnyQKD4C4K3fdS5uJ+a6GjH
IF4i1blAiaZtVJFyzgsqREU4ek0tfiYdLdejaM+koB96BVEvj3q/iMfMXoad8Z6NHWCcsrjupnLZ
wiGb5nOr4wzTwswLMIdJf6fLKd8qJr+d/txJadLojfDxRE3aebCkdaMTHdr1BeWwtNZ3dGch77gu
jBmO57ZJNkvNTHMtq/gcBTYirOQ6S/sTLGuFrBWpVol+OcoEROsc7EVKG0+WkkBYTf2jyu1b0vY9
CVb13dfNJ9VIX0nt7yppUF4PSLv7iv5mNsrnJnbEMsuyz5ls9ZUucPGNrbaJ7OyxGM0LSykIrtPO
Yvh575iDfWXEbumwhajAksLqxcBoW+gWsBzFAZBhVUd71t5O+G+tfnqpDf2xcoWxFbMitxTO5TRL
c1143J5ZUxECXYwnFbeuP0t2Vae9CXOgL26ppttRLcZFN0t5cck8AWm6abMWfV7oAlDtfM6KHcmt
uCzzZR6pTJGWtHos462fRio3Fg2dWQbcz1rgZBYE97MqmJkXschUGqWIRV5JtDGT1eDNUn1pnaJZ
N9w3FQQTMsaeoVfXcpYSjy7oXA1PcTILi9F+cj1BYRzBDwfQHZZHuOS7Ec8xrAVmi2b1sT5LkAeD
39ayjl/tWZBc+vG0snAmB6Yxy5PRKBf4lBM4u2A57HTtutzaWA+nTY5/uXatdV4rSCH8TUGn7Cqc
Vc1WEYnF2HCMJLkn1uDtGdu1Rv/KzvVy7cy+Z7zPsRMBB55V0LSnAw8HjLrE2Dzuw677klRqvA7L
1tjrpQHHFywqNvog34Z5Pt1NMuOzkSPW1FlFrdBTWwQ6BFALT7WR+YTeNBcaldVfBLisfZzWSjSB
LtdoK/rJdFXjvcZCdOMqjn0gx0+wbJZj03a7hAp3m+vk/Wac4bo0aH90aHtBbrSvwG3w1jDIthlc
cqOjBl7E1acB0kl42eLnzv1J9ZJZ2V3i7jZa/+Dj8k4q0jmz3NuIK9XTiQYsIszfAgO4Cyc6bXxy
AA62c3vWhKdMQBSGO678WSFO+Y1YJ1ZxrUuei0S5TLGNJ0T8lyrhplVca+h5zfItnZz3gCA+gyTo
yutZXN6htPFkCkpwlpr32M190cEw1tTek1XtLwsc6DmMkG08xMHnKkw9sKeP8OLoGPLoOhjU66x9
tAwFf1x7Kr+GENvs1bd0sdJm/brAw97NQvZiVrPrONontVQ9JY2OWmn5WJ6Si7TmJGKyp1qz4h2s
1tvgNig//IM7S+DVaNyj1xHzhM0itvL7bKxPQ67P3oIsW8B+W/KB7ivssFaafVGwxcqBrq3NDTiv
lC3G8zcyt+umQzDbOOWqKflbWSif1Vg9TMFFBiWmRktbNsmz6OKXsGHx7RUVWYqzw+I0/9bgtW3s
ek+unoZpwsczu2+p4F4Msw0XgAfdaAS5iHS53lvOTRQH/J9ZwHuEulGdagsTOxuwbOY5OLk9cQLb
RQOy0dnHayDmnWZDb4eqlwL9whfyXjP45rPLV/rxRTLbfY2sfTWBfwcO3t8SvK7qZCCG88+awYYn
8oCSLK7g0TVOBDrvainpAs8+YQVpQBmJA85RwsugrzulloRiLI0wbrZBBUM7WJ97MzKDeASrsJnt
xfiriFxM5Gohk99ks+NYn23HIefOhYsAWZlNyDlzBA5qZIkiGTRhtA6kex61eFMgXkfbrbubesw9
bTi4aJbD2bfMGE22JH2+ieO+RAXOQcaYXgwkzbYMXqjpHMzZ3qz4asiHVT0zRIGiR5exxUbc1xc8
PrfB7NugbfpZKx3oicXCbbj2b40g3epIs/o2wShulFf5V4MH9z8bJjL1HuU+7ItCRWmQN/WeqK3M
iJtIgE3rIu2V8Wrk08lVK1I80ye0GUyOjDxXJPtC0nwfEoWnTak3k2D6uy4w3DtUV/JEkevILDwT
3Jjn98UDCJ9plbt9Rds90FapHt8ZdX4jTXtYE6J8r+L6HpwghCwOXoofwYSwxC50zGdEsZdDJKxF
6NCvCSNGWjh3NajPzYrecq8tFPIIbCcj50KVja1hS+Pzmz87zuadGJl8Cg9VDeksLU1vaJ1T30ZU
+pwDqjgB4Cp+1uieNMI8aNPI6aYoX9hbUKWl6TLJ3bsmisx926lvkw/Nb4ppZoy9C7KvuwRDTw8j
nDYDV4kF5xpJ+SH/Ustsa1DfX1oqmpKqsQ9mlV7rwGbyFmK8lRVyy7p7EFBnHfTsDJs1zbbreaJj
nRe0apKJZtosGmCadYMfDWHZptQ57QoteUoqOm7hOYHOGcOxkoOxs2oqacIFx9bQ3MvL9pxZOKJH
0GmBBnd/jE5FoJ4sbI1p3p9M/WyTkFGmyqtrhYlqtbhPZLBrw+ixddq7UhR0IiDsuPVmsJ0Zn4Mc
IjuNlf4UlRhsG4WVMQt20+hMu7hLGUGK78K5o+5wFlyFaLYvWBWeTAgH99nUgyus4oshTED893Gx
HLPpKPsR7rmtPZS9Slw4uZIyf05KF5Z/A4NzFI+pVRwiI7zPJNGj/ys3+s1bcXrO3ppfb/D/T1/o
ud/++YV+k77l+R9UAfii7/d5XftEvdecVY04qb/ezH/c53WEtKivXQIjFt10Cle/tdE50DJ/+j3a
yF99v8/TRnfnGVf+i2AvWel/0kanV/3xPk8LnYgk39N1wSXy7X6pxuVj4+hD54qzntEqZNmeyk1t
FEF+ZSh5qMNzQi30RFSovjLYKe191kf5cmLW047Foc4xrZRZ8pKQ7xk5LPQ6VKjRNAl0lEY6ZMva
mHb5ABi168UV19R3dGHR0qldtkN9o+DyCpqIu0q1UXF8ubi+hlLZKlH6YtXI5WjSHoJYXiWzHsxu
a4/73tZR8ZFy3cWCJ5co5hRiKKBqNHHSOQFFOoNv4IXTNfDN7aj1CL0U7SXGUMZwnbWrXeehxF02
1fKV9fDoUoWH1si/7VEAj2tn5RlZO4pKrpfMMrRYoEVLZkHaRCaJJH6+1HttW+FQ62eZmmzRqiWG
Uq/KWbVGHZJ/bQ64sCmmeyoGR3eWs1F91KmgI2zTKQmEJjpEJl3X9Sx10+rAoRerPbv43oiG9l5l
QtPF2f2Y4YTr4phTf3EeZlmckvnWOpsFcggzd3JWyokIP5nGUIOnSrNH+IZ6DpiwARcuy5bMJDO1
MF5lVrJrcGIsQj3+Mmb0/tVZZlcXPplGBgGMYHymkyMxaGrvrc44JyY8SOMHYN9YcWZJXg9NnyoL
4rxiVujRlaU6gFUPfvRbpuTygc+TiMTTlNlHE+MwbH+sbPFetf0bOWv6apnEDQA7UYUHRc87tjHg
q8GiTEEIQ+BvEwHZP4ALmTauyYrfh5vIdZkEyYJKHHVHCfdOUvQbnbVvx/tSqiuTyMUG/a648RHU
gV4aNdjZVUE5oLdGc0Nqzky9tGMSURuLkLhsXusHh8o6Ii7GEZUpUR/+XQ65YFuM1P3VcnjTPtPv
T5+75vdr4vyVP9ZElTXMpvVp6bZBh5fl8seaqH0iAU6N07UM66N3h8lADvekxOEvf12pvq+Jzifm
DMmPM2tIaYjhwX+yJhpfa5i/NUOocbp0ZvkRXJd6KQ0YfvSfOxSKqxhJjWXt3DGIOx2ZHbbiE7qf
WF+1bZZeOlHVM8ScWieL0283z+7PDq0amVavkW/OtOxQodlKx2KfNvk1Y4BeO3u4jNg/upZ15OjN
SDyqrsDg8snl7BCq8n6K87evj3LR61wTErugDDWttczEWEOrrYMT6ukm5O20jY8tw0KD7UJnNvpc
e6Hvh4xCEs+GTu9qVAq4PO71xG4ZwNUUSlJINe1okXGjhWKlqAbZC6DITuRkm8oRezsF9Xxr+C1r
jJ9JZmzEV/lEPXso4tlI0X2VU/TfRBUoK5yv8grodYgsHIChnmjcOt4mudNPq6oO1GqF14UYLWmR
l87OmHBO83uHsZRlG8qN2wtQJpHNtE3he46s0I+6qVwbXXEk2Vgt9QZMAkPkq2qisBUKOoQ+dSPV
/6zU0454/XXvZMucuDb0dq9X2sMgLfoj9rhwS3vW4FwzmPdckhahi6bgYe2OzB7mRJnLrcsJGAaD
dt13ys7W9FXuVyc3KN914qaZIrda1O6lnW0DvzoEAgyyPpy6on5Rx+ZahNwEYvsuET2FQGfra8HZ
DoGOVml5k5bEd/LIS0t1I63mum5dzxjIDNnmfebYjJiz97kNeGxmA93M0Ol7veekcM0UPZHsVrJw
N2Y5kWtvjn7UXIqkfeTY6jmd65WKtoIVfJqK7EyGmj7odMobc9sM+v0kiyNXrQUC4hOf5bKM5VqE
4Sn2ixPV1IsJ32jXtvvY4vRrq0+6Fa+JiB1Lo30JCtDr80cfOOLWrMm/ZtrGtYcDQw/tHG87ddR7
xio+1bZ+VY1y2U7KnRUau5TwD9z3wiuTbNfAFgAtthB+9SZMNoA8vXfi8I5pg+s2VNZ+aR0YAVlT
Hz6pcZ9yzcbqZA4vPT8E10zNw/CLR2facw9c1gS/A0dbK9Fwge58VzSz5mis32pHh6E5XNdjQk41
6K0rx6qpycnwZPvmcbR0NE0piFjUnBQeI70wGG+gvLOwhurMpOZBavxKdcLcpX2jcGyWpVc24ssY
AF4bKHJmxoEK0dVQtbY3EKpiJ3M8o6qeSJTz62fYXln6G84T41ox/CemMI4SXsDazbrbRPorQzFw
spstKWyCwQstyTmtZOY83YD+ggoAFfNQO/qmeW3WDONTEUMhN/CJ97G4jEtl01BrLTncb8swUZZK
48TratCObdxtEp9EFUoJVQJ74LeDT0sngSu65rLyITvmZnOBkhCe09hcpFl0hgx8MCploxkS7WR1
KnUC4bLKXksz48OYFI9hfenF/sib1dpXVuruCsLkHmOAxiKfjYv+NIC+IFhYqLpY6qGFczsqD2D4
mWpplTn/9tA6oCEASJDLy6ZTpxlHagVfbAN4g+LqW7+Eyj7QMCGQ0F9TjvvcCnuvWCBulS5dp2Ne
okaSR4g8hNZMVoBMAeIryrzz9MrnUBeV1TruxkNRaXJhG9E5Saq73u6oOofDbWADAWHMluNeu+zd
5AwgRUPmxCCaUccAVLJ8KaJQYMxQ5GECv3wRMrD9rb/9X93c/P/vKqTRqP/zq9AuK9/q6Dn9/c4/
f933nV8zZxOOxaj8txsPt5HvO79mk/oiCcZFBIy+ZvJV329D6HMw56jQZ/hCYmGcF77v/MB9yNOQ
2ZhxoNQ+/1F3k27ph9vQnCa2dJ2jDicT4gLzbemnLJMTVnU+KNV4HAw6bmstUZmKLx3G7t9VtC6W
SudObQueZboj0xbVSQKGxh9iVE62mVz7OjULl0mCba31zojoXH8NVAoshfCfmfG/4VHKLhG1hozG
2PqaM1BA9FFtjoVtv4clus8ER8NCy5GhU4o24JwgQgPUQ7Qq06zDRN1gp+RpCx6Lmv24HCBNL+M4
qE8oUWkfUYqjj5RcsNfnXlPKcQ1VYI5YQQ5PmZ9fMq5PZ4wu7snsx31iRQe3aP0LHuRknSiCCgeX
PVZxnTAlw+HjehBO6BntQHXBGJKlljilVw1ptK5c8NmqqTymtnYu7SHfO2F3CwRG9fyMehV1sXIZ
iFE51bH9KnMg71XhaJvCit+nOH6i+MVkiNlrGYRxxz+UZjzeUfP1adKEEOIMTvhh/NYGk/6o1yH9
MDq0695OK89pUlYwTvMVP24uLhiR0Va2VJW9WQ7qwUI5s4kY5V8EdWcfase5clHk3DC1vJPheKuU
uP8Kkxy06hZXjk3xHvwAPkKV/FFYDMVuSqhDmqrkzjgmykELOyagxjq0QHEHNB5Vgyy4P2rtBtX6
yKViqklYnUM+u16nF30cwbLT5gw0n8ZZzHcCKiSU9ly6gqiVzk3G2hG51m8VzBnRTu+TaV/3uThH
jNJUEIVcCoSCN8E/C2qF1OoS8d5rIjnotE0BiU83hFe1wfv35vL15jKHAf9i9crHP8hlzF/zY+Wy
wIhxxSAWChXsl1wGkQ0YKCogMRXnBDSK31Yuh+WOso9jMythCAosv61c1ic8HrgCgJwwpfqP6zi/
TmIDU4EvZMw/A9ZGBi+MD/kgAwA30hynhedpw7kq0sgbisx0pyvwBxOl8EiE/mSvzLBXQyZrehS+
ltbqGpM2+piD6B4jNsTKjarxzIQjzouF20mrZsZvgNoPCCkNjQ2oERIgC9NMo4Z+mx/3uqf4osg5
Atmdeel0nahzz1HL3rwYLEs2WAig0zfPDln0aWKCCtclJfKh7iFcabS7N3FTimNYqSG+p9omIyjN
u6oARIYlYVF1RYIoJIkzT6tkfxGN9LAJU4AJT5PuWrMT+aISCy8ZJA2Dl96sh3XaqNkhspNiBR3E
P8WKZa6ZOwhp+mscBlxpjFeao/s72jbyyH1FnjRmqDB5le+FJBJCQ0Cvn3HLEyVv6RcsQ7pOO848
7a3OsWnJO2i9ulMqNn2YykNAOMLnmLdJkWBfu5OaroY5WZF2ENzo+1GdsdqWdr2twjZk3nadgKZZ
m6VGmRvqFYcZgzAIHxMJQ19lykkrIbMIEepPxlTCYZq4Gy4SvdNfErOxLrqqCXYjpZQHw2oMRhV0
un/AqL2J8+e565JX3tJ8Vwlbu9GaiNmUmDDy0STeuEDwFJ4wlwReMFrRyYqaZiNEWq/iSbinCW0D
1rA8JqsBrSmkKPRKWyE9MHjWfO4yYHGNiHNGmiMdEZuWEnUIm4QwgM+84FDZV1pC44K1r7k0IqP0
qPQXFzQLAVk1yZ6e2wSpQ3HXlTUO79LkIuWWWbAfigizshU7Cnc/WwWd0zCAUowkD/ApoJ0aXTTl
AWkEaF7TYrBq/ACTLvx9Wiv2Z0bm7rlj6AddccszP76/VhL4Kk2h05Ssa/U8TiG0EVfGuyCiz1Qw
J3tESzdeh7Urvb6R1WqMumEV9JO/bhi7Dv5dWb9xGDUyqX++sl681X9QIZ+/5sfKSnIfZjzYD7K3
35bP72dCZtDgN8F1JLo2V4pYj7+fCVk+BeUZauCUab7VkL6fCU1WVoJyKopzW4Pm8Y/OhA4/2U/J
2DnwZkNiIzmq2zA7LOdDZtvRygBG3oTXpWH0K2FKl7lgPHSeU5li4/TuM9p5ua5KCwbOOMWmss8a
tyNh4UR6/BjpJDHOoV901Y6SaAlDrotxkTM13DmXpVnX8hLs6qk0kuiW1imDl6ExOYx+Tg2HljB+
MlKLRTwfg02JJkVbBSgMUbLl8xKvm1O4br/+tlaz7Gdn+krGELDWOmnziCYxppM5MGFKF9bo7CZq
1no+RNo+y+RU3AQTh5tNVPlzZQtyz0YYAQV0h3bv0HPzrQsZb5RkrFay8rVNn9jaSg7VtFETu/48
9WGnoR8b7WllNB36mFEX07BKO/rAnJp9hfKuWSrEVsrJPnZjE1Il0Av7JrJtEHAEJ+gL04HYaNxx
2xtgx4y6M22XngfdDnXKUvx5DJriYZKmAHDIGHBcowIqnB0ZNUNd/Xv4+Xb44dzxF49olAfNH9zb
+KIfz6j4ZDJsybOo2QSv5iPOT88oEgY6SJyOOMVwo/r+iNqUcvmPwzkHH8TPnDdjPvzw1Do698B5
/OcfNbG+qrZ+qdcyasr3YyrIhBsHo+PXW5vmGzPz07FOCIuN+o5sZspVPx8zzQtDpYPCQe8lOjZu
YjyUhT3Qa5LplaoYS0HwKyOwMrTRsnVUn160azfoiYsaCrPTQzjorIYHqmn8vTTgkC6KtJiSq4L0
aUkKlWn4p0Eiy+QAeBrtvPLMObIKb5RSWhW+INGxF/ocbOV2G+LAhhZJ5lXkcULJJBk9SR421PwH
9msSsoUaE/5JvyZnE0zCy2yO0/ZWTZgOHbMDTb3oxjY/mspob0eYCxFKxxkFK/FYQ4Hz8758wRz2
FPSxvWztzF9qZb5uhkguiyzeVrGyjSISj0Odv6iURTiz+AaKrewuCpRX/Vjm47EwITYYDm9PCirW
T/1brXKvMvRNYuw38XSltfad7Jt7ZmhXJjEt8W3q4d8aivmXt5BviuJl3U2/fxrnr/z+NNJTBkij
WTRRaBCz1/30NOqfINRAPDSIkM+NlN8eR4eBO/oBeOvgIM3ikt/uIjY9atXS2X7Jg9JV/kf9E6YB
Pm6ZXxvKzKtSTaG5/JF2LHwFfp/LQYytplhDMwXzpKe6lw75fVQbLmHhmiQz2pJlmjjcna12V1na
e1+o5EzYmvYyJQqbhaQXW7XbBojDLd4PskJEoIocyVYXpKvYiV+kT29Q65HQ9jnF4bTt85UD0wH4
3yguqf3dWbULP4Ij/4Ih1AMCh7sgaAmwRfd+bNxm5P3PjuYr0Fo4hneRE6zUQYv2WRre+yag4USI
KzfhtDl0+pum1N060BV5m1dia9vORVwO41od8pXSDNeUJcGylukuVapTD8k2MKuNpTYQ4ixQtU59
E5JGWdRjcWwsktNBa2wSVYRLP2hexwggSREE/cqZxnppREAwourGJGQSDqa1EGa9aOo62vWp86Rp
6OjlIBEpVMSgJmjkA5nYbsi2YRFp3oBdzEtr1C7WdO0TWtnCL+Kt6aL+Io2mhOtccAK7uhduUiFw
TVdTq3yJ41Qsogo1MPHnjZxkhOadRrTS429D6E4acTLWXepeGkGOYY/yakpEiSO6cR0zNl80X3S3
eKe3umKVGvhWc8pIa57DDrRi49NfMJ3Wi7lyLowSrAP1MRZU3FtMTkdLe2y2biGumY4rLqtMO1ZD
PKxURIK4asHKQInSN5Ou35oYCuFUEx9XrDtWLLGvehpPDnpCu/JPasOsIwzitR+lF03RXkq/8NpU
3aQyXxcDTCKyZPf0J0xsrFSz/YZ5Q5FW6ylyjmM1PuhFtjbz/omUZ7nLjP6aJgEj/JN845UHLnfp
W0+S9JwXBLwqbcQa7RoLPwmPolP8Q2/UL+S0kfHUmr6Lgtx+CpXMWVVOJ4Bp51A91AnlKRnFmpTa
KegVZ18GRXM1cGGZC03gqXmDKBRZtvvFLV257y1j4frOui6HbQt+cbQM6Rl+/SiAL3J5z7cmW+AK
pvWCUfBtLRFtdBZvsRv4GyULpzujLLi467RuYOHcuJV90WrjWxpWiacl1nXqh8GFTYR3yvrTXMbU
uOetEpvOIdbCL/FUil1bOF8YpoJx6E4Md3ODZ16juULIy1tcH33KpR4QpnJfODVbFz23KjFXQUEz
CkJoxwVx5CsG+Nk4nEaUdP57WhK4r8eOlkurnjlRAhzumDvzJ4oReq6uJtWutkGHC5n0FunEvYz1
xiMV+RiTyyW12raH0FTQgjPa+aaqfnJbEIffpr07KnM2Flrxv8fEb8dEFvI/PyYenpO33+9Ls1/k
x77E5gNmlyqKS6pINX7el4xPnBo57oHInYFsP1X3xbyZ6TT1Hf5S/XqC/H6Tcz+xhFpcuxyNc908
8fR9gus/J58Z/vpTRafxwUPCDjefUDkrMiPOAK74iESkrs2docqtc9KnwYUSZJV/MwxJjsVJj5KN
nMnm48w4r4Cdw8hJd2bNsMQsiN4mflbsspmOLuUMSo9TV10P3Ui71aEXZhDFdS1woDKO4EwgO1dE
bB2dmVQxpCreTcBWASMnYnLfrJhWcT8y9+T75kRChycvH+RFnKdrxe3nhmXcXbd9Q1l4sJ/SQYAq
j0OU6kRfU7XYTka5kXrAfkNrTLXHyWt04Jx5Vm/bSTuJRrwxBnUVGe4ZZ/SOjf+GSZqNUjQPSuCW
F7lfXFQhDN/QjHaakA9pGyxdJbzJdOsuiFzQ2i6nVTMxSupHwSP1m53hlqtY9R9J7D/P496kNivc
YW0vwfbC/I1MZwZM9Mu6JjXrFOKiMsJ+kdQ6iab0VJFSJRYcHKvMfKaxe26hf4HYZV9jN54KCfXD
L/eZkzjLrGi3lmDsFw8KSBkCTlMOyo2YK8oBzTOccT/5yoNbh1ejNCEit/GuC+iw4nWdOKNySHfn
aQrNZyxNFltqdo8J92cqU3h1jXpaB2MKSrcMX5sMhelYcrbItXEDKW+P5MfYZK5+ykuWIdmmmMjq
+nPph+bKqN87e1S3dmKLFYV9miWW7XGseleGhhSpEOcq7aoFfm5osk5169Yuo1wYU6HbXaVBsxV9
3dPygK3Sls7SCnLMtmowPo05Le/A/OJQz5sd4oLu//RoAqtgnOxpUKerylVuKfg/ypIJg7oN36E8
M80jE6hTTXzKnHGbNAOMG1NDsdTJt8GlRYwOnt5BGaxjvXsdQ6LZ1I7XTp+8jhQ9CmLo/4u981iO
G0uz8KvMC6ADuPDLSQDp6b02CBoR3uPCPf18UDlJXa2J3temu6JYSTKTAO5vzvnOyjpLrO5tANV9
ZmLLLqNYtVI9ZNHcH1cFFe8fa9W8yqpCM0FiNaAV5HRzbExWBU8DXxV26UIs5MXZ+okvyLo2SQja
E4vm1lXQ2XM8ktFOkxPv50G9WrgZbmYntXeZ4gCqYqy5oZE66nqqeyjRN3rDa5akVq7SKNLJQlCr
QOdq2+CBJw8402akX3oyHQpWKRtCxZOj40wLExlzDHAE9AQcY5pSh2E7Yhtw1OgKp0fFCahd6LJB
BUJhh/ox8rs8vWysOtkI7YnB93zXakr2UmqsvkUDxEpny6KFLbEGPRdka+kZ4msS9AzYeqBEdIa3
3LNoirhuhKv4dgmoWBuJhsahBEWYmD1bmS8ygT3GLQWMnha3Rw4/USTdWyvXvXwtNlQNh9KSOutp
56hAWDpqUe4QO88hjja+BeTfkOiAoTGQ0WBtcMZj7Y9tjBNFW2+JmsZz1y8k3GriOS2KcIseZwzG
dnR25QKLOcvISK4KWGGdkqpMc5pqo4n17xtaJDwb4alxY2qk8TLhjvJGCOap297EI+9aVcgCiqqT
NpNlW5AgWbkIqtOlZQjsEtG5qml0R/IXIrQMs8MWr+e8LUryEM0EjVKKiwrn2cmJJFZvlDGJmb2g
t99JpbtbsmGAg9sWmxj0callF51skZFKogTwquzCut5bsvuM9DD2TQ4PZDA5N2yWb8SFMxX3RZfm
Zzcerks+URZ7kNiKikI7Aq/I0P6Jxnw7GvVJhs7XqRLaJq+KY5+NjHu1aYdQ7e6fCuFbhWBybv/n
CuG+TUoM1/9eJKwv+65IgKyiagD5QZ9Yq1X5z1GS/i9L8Pz5tg6jrvh9kLSmAli2a5PnLn5bo/3V
ubr/4t+zu2B6gmrvv8zpsVV+rx+Hvbg0UF0jYeH/+FWYc32//1fKgl0XYT3XpVYbrA+EhAsyywSi
1Uaf1+HsNA0oZ3O7fm+G4stSLfEOi9mdoaxeG/ttHkCh1zLat7AXmxo4f+/wGJWGfan2WrMqaPJN
VU8GCyPEY2Y0x1tRWxLyYARkP8y8YYh7D8nWVTf3H8oaw2O64wdj1CqIGQhJF80upqfTBFl0o7vp
xerAadXK9CsGx5cAxQc0zHyNdfWHUnG3t7J9GzCBLEU271ThvCmTto3HXuOhGu1tdoblkuH3yIAu
mc34QpTLQ97PLI0y7U43++cIQtzOZWvDg0q3riJ2cLiXyZWGdtAy9I5egTFVO6hoOCF5YiTAHSo8
GqgWxR1w6tXgltxMgrWOan41+mKHcPu1M5IT7QhZRDhsJwcildvzX7v7Qm2fpZ4cqklauF+i56qz
nl0c4WOF3EB/71z3vRXdVbskT2Y1vWeGU/jwHxYfJf41WTvorM1xX2Cg2KQ9QIuFpIDtnCV3IDMv
Za1cLnoTshKDXziLXOdNO8UhJVUbSuGaw6Ia14o50n8w2d9AHbW9aNJOaWxFu1SRFkncOftKiZ+j
mx6sTjlSYIAksfujUw0pAr/iqp4NKCEZxVdbl2I396veMa0YNcrYq+fcITggbv1ULYbAGsIpMKUg
xifnq/Ys9m00PoaOvc0TeW2p8kqt2NAqitvsWqPEX4RAI8qygyDfZzP1HHNsxQD9qu2hUExCYIQS
7rjRQm+shpNqq5cxfwr+y/YtVdpbazCvx0g9RKk9eZZId0YKhqU39u56xGeL9dCnzUYtokea56+W
KhRAdchXTWkZm4FDYuvI5RkLZg2vsz6Gdv2kSNn5eTc+KG6PiqtgPLMwBAn0IbubFeLlYY2yINSq
z6JTCi+p6gtjdq8yYyb/AFf4xqnGs0TAGkzOVF3ZYxFxr7QOs4JEkMTk7kEFoDTT2+m1D+vUp8cP
mQd12MOz9ElmgCmTBwYSOVdgYgfca76Bp8hzervflV1PuuDY1vtJE6GnV+ppJtDcIOPGL9KE+Sfm
QaYOMc15g9BSFJfJagIEC4gBT9dbb4oWJizVazatJkpdvTP0ozJ/ZirsPiVqbyu7C/R5Shk424ED
JBpy9SdtCEsL2/hsF/WFovzM2Pmyhny7kq43ZqfEgQXgFpJacxvL7jWnGQCec3CqBSQvzthWm1Q8
+9B6nW5NOZo/Rdd+iRR5Gqv+hvDci35IM0Kfen+B+gk5lm27igvOLEexSWW2ahxjSvK+/6zxAoAx
HNcxnP2aNO0XpA4qSUJKRgDVRJsyOhbGLDoa0KeOl6fGM0/dBokmyJkht9572r4N+4HE54F86pR2
2kWdlNt4GY59SOVPyMOtFU+vaWIi6TcyVq9NRzRRxJyoM+iyCsvHIY//O57uerMhGoMRQz4xbGiy
BAluabbcdBW3hGNd4DVNg2oKL6scoq8hQzL2lOiOlumqqt07NzT2+jQ7nlWCWpVzjlWfUQo4qm3U
O/lzO1KRh2Q8KLSeOPjXG9tMnwgA6BE+j9mWx6rhRSJ+m8rK2gBqIAKrPPJAv52Natg3ajHRVklK
0wHOKbETAyPXXawmsJhw2TGaqe5DpzzGoWV4WZOfu3i4SUyQDQLaUZjoBHhhkwjKKOe1w3BnWqlD
ZSzfuioF/Fu34UaUIgaC2yhYbZVP1i+cF3Gb7JAK3SBZebN07u0mtx0Poabi5VMEhiFcyku1cVfr
RvOsOYz4e/JOsHhNIP5gM21iGmC/4plt1qW6TclN26KcepNu8lTVXEiIubdzH2Ew4U++4bhrvZFk
GKIg1GhLgB2f6ZDQ8enj3o0MhnOxQSwLaV98SsNDPOMt40z0+tQhVYL1CJoCuoxcmbncHGB8iBu4
YnMIjLWyjH5mpBfAnyrCbGAwRyqtnpJZDyYEqracP8zKvE6j+uuk8e06I31mpIM6tVW49GR51lgm
XtrmcsH5D1IXA4qqaYc+r1umXgJjNqTJ5yZP80O3NA+0+I2fl/qTMhtX0GE+xibfumH6wGGvnuhz
MNMTXtMl0RUq/nt3yfa60mFYjYdpVTHLzWyM+5Bhm81iclMNBmmfLYkswrbfMdUqftGixkKesmzn
yrnVwqIJaJoMzKwMgeuaxJ8hl+FBbedXi0RN/p6D2GaZcz+VNtqTUDkmUfRKQexHGTDIKa13VVPx
eru+rjIcmAQARQF923udTsZW9skLDhd7kzbWtSqtx8qwKIjzab9E+meqjjbPWE2iKGvjwJnKeGvZ
SHJ7q8s24AG4/FKtB7o2g8xetBerGy4JR2FDhfQXJgFP7RgKiJ/azAUtJX1lVXWRJYwUe8zJXjPU
p2TI+aj7djcvhvSkbqaeVLN9GmFCJ0Wa824FRDYC43CVtnlguc4HqWjTpnHIghkYubB5Gga/gohQ
AcDnqWo9FaDQQHOGhC40yj196UPr0o6WCW3CmEPuhBESSafHHVYx4Dbiu96ymwBFL52+ZC+mug9G
Ka+jHGGd3vXomnFeI+TmftKJGpsiOgSRlQeFyokbMlW9UXRvdVSAuuQ859PiCGEfZhFwh+jl68jI
WKmtT0tV7hXGm75drDNmN/u01+kw64v3YW5PLic5MyLzvRvsHQLIFtylRmagXvruMhjIMbOnqCg6
Dza58ByUyalSbKPwTXWiM4UB8YuGQtsl02NtIrOv8TBdiqQ6hE3L15zsJSL3aYP/4l5rnZJZrnJr
F6QLCsZPBtbtaSVMWfHC0L2uyqDpsY/NJk1VkTW8HYNNiDO20NIq4+Qwl3WcGeyr3eQe990nuX0F
snFm2ADnt+ogcYuuA4JWYzpBNAHXwoVuJX1QmizaZVbfWQl/IyKvdMrLied0W15MRltuW8s4ak7/
nhYMmvFKPDXTt8mB+rBAEpnm/B7abeGPHY9UW30ja3wVXpXYanubFJ5cnuuu3ZbqhA1txmLg1kSc
91b61aU2jgfyC+qp/LoU+OJZlqLjXA5ClM9JykrITh/qgc1CR5VnZzz64oYrM3ZHe4cogl9S2jto
LZ8okxqewdOLXlDzgZEmJzJ9xgJyCEMS5rPyFTbuW9rLK8NokBz1mh8V0xZfMiel3gCus2+nmJAB
s0Dg1VR3U+fua8M9uJhdGjW97hfdY20zb2YdpGmYB0k7nFvkozKpAUCogzh2KYbhJrJFdpOXi/U8
V4lFdrxiDvwLs68HPPUWk/paOf7Tg/42pYZb9p970PNr1339O8URr/qjBSVtxHUtJAviG4j6hxaU
XnP913/QR//an9KFUt+sbC5WpKb6DYj9x5za/ZcNyZPvyLAazYP4r9Ji0X7+3IWaYNgM02QqTpOM
1ffHLnSQ7qSgUxiv5lHv7CAeQkjEMDpmJHtJjN8/PPVLFunBnA5D9qhJDbMpQqmkP9RLouIDI+L1
3M3uuATpJPqFGIy6rGAml7plvk+oybnAqT+WgCqAMRu6y/1kaZH76aqF1t/NXcfN2Se2EfrhvCwu
ZqZqxemi+ETU01iR4AHUZiMbwQV8JueypEwNCsF9Ghi2htd2JSSg/su0HacFhVM7RIb5kGvEe2zx
ph0QRjH0Ki2j39fKMO8nfZbp56g70zZK0VAGUZQWfUDEirqHFhwdldDJ3xJsur5LFpiymet5CJQc
xejAqglGDqJ6tcAGh1zCfBtMNmHLUui7Hrp3TI8XGTtzjj+tUSEdr3Q+mbYbm76IisCu+RoZV5hr
B3iaRKGNpzgCwOGsg70oKQSLZYyzSA0RTdgc4wKnKiwsVNuwW6F5yFXHr82Jundag1l4iPdec1Zx
5FJFx7pV8mtjzmPqb83dOXX5NbMXc6fnehRg1DV29FlJoOKnY3VggwYzZX6dqZxzlHk4LyhAi6YZ
A0ch+iNy9K8xxIA9qhAui4EGFoInhLMqsjeqpbyR2hvtrSWXAEaxksVt+2mPYQjxgDG9XbB88MeW
MIO8Fzwwq6I7EnyT+kKJ0wt+Z5DZlVUds3EAAZnS7ZAVR4U3zjeuG5q70a2KoFuTTqCwQZVpDWcz
SvDY5dLyazr6c15mgtFbGm3alg6Dqg9eAbllnFgDqPRKT3dA3pqbiJyZzRSN/Y3Nc3OzzFoDNGSe
sSlXIt8uqjsF3VDBhjKmOpg0W8IOYXcaTmW2J1g2Zjmd/g6J/Ud6oqEI/8Vjs+r+53/L6Gv+9e+U
YLz0z2cnak2We6zCBAqgn3XwLup4NB86j1Z2en9O8HTjX0zTBMM+BFUMwld04R/PTvFNyMljFWuv
jRL+v9KeMCT8YX4HLVplzYcOnwxR4Gbr17/z76SOzci7BFopi2AxbTJxdkbz9N0H8/te8Yegup/y
Ptd95CpqIRRBMw3cSuZPWvsGWQGaTDzBfZUmuV85KlBcF16AF+oiC1K9a5EuC43AUacEvBOnXr6E
p4EV2K1axzd5QlaLGSfnUVXZ32mK6WkOc8FcS1RPjUizF8VBDvFFMlBvSO2sLuNNN4uLZqlOU6tf
oUE9qmk2b4qBhjClGdza6+OFDLuZ5aH7QRgjBrmMsiXtyffE6/4J6B79SGlBN2ixyeOb5PWTTcjJ
DOLQOo7KUuzCcbKxKneQIFxBcyIXTo2sL/E9CeMx1F17Z+em/kUUEBYVkKu7RM1iK4hlU+dBNTfZ
U0XCJjUNKMB95EL0Omg6mBa2G84l+o6ZcTtQstW5HMebXq9153ERjeXnjch3rbJY5k6rxmkBoY9Y
yW4ojYp+DjcqAVxXZJwqF3z/2u+SNcxgkqdKKXcOE3+fzGJmcKswt7WdZK/nRnaUCNKda35ep38x
58jGFjlXQ8UxqjOxac3pOtaQrzTR7J7c1rKPA+uJF1xqxtNgx+h88xmbTV9Kg5kMKzxPCJMwaYcT
2aKe7tyHqkL4YaFyDSAaGr6op9jLJajDJormwyBM2i0pmUfxmZ/p3LvXjmXvNINwmZl5btwmOSii
0AKU0SgGyZ66XQb2LuqcB26lubeI9MloTOEEOjODt6ouME9khj9UGgrk5MkpTEYcaDZQviRL0PZI
DTukzGydp+RoEUkV2Kytdn2fa17J0OSSMYUYNnPT7Sx92I9GafvxJLqbiEUTJ0xxkZT5BcSwclu0
yY1RmQcnlqkfWvm+SshyinT1unPHu16zh4domJzPisa8IxfTGifrs0qkbxbAmcNGu1cV5FJWTxhU
lQUunVDmsDWa2J51Vv3Rdf3XMmm/znhqESb6ONmP7lRseYBgilt2xqRezM7g626/10xxXmjaonZ4
U03JGlnZ5qPG+QNaT87vsCQ4t95DVWr+aOU6pziRNZk5vJhW8pYvlhHQEndHNogRcbzLWRTioEfi
wqqlP8rspebP1/U6eyXHDsLBQubl7KW6vExhF0QFWWGN2pCmETHG7Er1ACol9bWZhZRtX/Meb00C
ffwpWSL2xSHQsUFNLmIDf2kcips+L7uLselPkZi4mCEI5g2zvSzkbHSK+eRyE6mVDZuy9Scwh06t
n42pelKW3stM+06K6KZs6jMuGm8Q7rmQw03ssq0WdSDIG6FamjYM0zUSD8baky2x9VGrXmZK9qXK
tC+Ys49Jl52q3DmmUrtZRs3PIbRVeX5hGjT6eTOfFtumFqNIcOANNpm9R67kuy2b0XhiSrmMzLeX
+dAsZXmEmPlRzGiclLjM/Tkiu8mc9GzXuPUu7DTldpmVZvvrJ+/f+DM1BysA8kUADXzV+en5Hs8a
CWRWDn6pyUQw5O4c2MOc+QUsy3NfIImyB/CBVVxQNS1ftbrpbpomU++dxWHvMk23sk3P6hT6mWs/
qVO/a2Lrs8zSCD932wbEpJFqN6vbauGazkPg8KHZeSMF6cZo8DrZTr+H8fUG91R6Sdo9CjyjwaD1
pFqphMnnpTc2XjcdtJo0lj4sd1ra7gT5WrlgQ1LYH3Ne3Ek7PUr4d0uXHxsJjKSuzk4n3F0/ziCd
5mQvptj0iKP1LMSU29hIdxHnkt+p3a0xS+YGsXVUY5f7GsX+OeyZ8aTt9JAmg7FxLSQIYhZXRkKc
b2NZuEST7GKo2Q516SEbzZ05IpVL8uYQlpnL0A7OIBOZLaaYwIzqcx6BGrRLcZXkI+yEYs+5RkRa
DbqzmrstY56rLM1vYR6xBi+H3LdKJUFWRrHXttdMPge/oG2n/ksfjNnApDklry480WTgYpq4QB1E
GJi3V9TiTqvZrhkacTezX+iEgrnGfuQ5pHfVR+XaZ7UBjha5ykeoWcumFutcEEtVlhfaQanXZ1l/
TmzrWaj5VlXJTQEG9zIXQvPSbs5wvEVX+mJqPjijlaTLEBZao3ysmG+e0EK3FzmV7OHXl+q6KPxe
kk6JYKF9hdYMvBPR7U8lQgpcCIdbAfVQriklx1bI31Ro/1HORMn03U/gW+o2bSI6HBPbM/vPn0Tv
uoUd2XGj6DInmUWxrhKZ7JP6th0x5re5l1jN1k2DX7+r3xIK/npf//5Tf1qQyjrra0NXlAt1Lu9w
UiOY4h84FZ/p7mYgHTjH2Hg+WaF+GCSE52GCG5SX44qMTCqvbJfnSrHPSW+QC1HE29wdtTcnNmy/
UNMHyylG5qIk3uTGixVm01HLdUtyNZVVIBe7DJxaaXytHsjmLuf5ICdbf6tKQo3ZnehBkiTvoN7J
pVbJFeMJPPu9Y6keLfWdNPIFsUn2gHpCHIpIv47ZsCJM2HMo3aOs3Vrd2G2gYux1NVYQO1GhoBgt
GXxK1WtAb/rtaNJCJdOtiEv8zQkBnXpksaGdT1z0n03H2qWrk0NrENs8GvfTkj4ZanY0ewhw7Uo6
SkKdxWrPYtiS5iFb0hPLQ7+cQyKBSB3hgMl4yqpPg8pmLEmLCyeedmU7BkO4cAWrQdZHBb682q/S
wtnUS+r4bR5e1Kh/4SbttcpaPCea7vD+UMDVyr3s2SHreq96i93vSAjCXi6rVytqLlq1uGmwJGGm
I+pKQ2QKNA+l6d5G4OLXmvZQzvF+CmG2Dq28rC3OSCjTB/q6r06jSi+E9dGYxi6qjbM9/p6Z+x8v
8W+Rz7+62ugovi/nR4MSAzqFcpGey2v249vm1DySnH4gL/6Mxjv23sW4QShzUX4ZT7++1hna/N0N
hm+DlZYAUrTegN/1EniSnDJjWntR++amPAuv3kq05iflyd4SJPxwpXjnpyEgVGB45X/yy/msbo7J
NrwErVP8P7/Nj43Nb/edrlJeAkegjTJ/cqHN6ojOSkvjy1i9Bqy2SdSndtj/+h3/+Mz695+xiiO+
e8NLW0gljvOYw/Vr1JI9f/Pr7/+378FGd0nqj24x4vrx+yOtWBCCNRzeynVD2lNrUnP+9oT6p31f
743/3L5fvCK9+XfdzfqiPxp3sYpz18A8rp41I4Avfae7+eYct0wXOSX2rr8ad9IIhLpGIOGu+l3S
+0fjbv9r9V8adPScQAbN8H8jzkVp+8PttopzcbOA8GDwyW/BN/zx6iBTEEOJoi5XehE/NiCuALnN
EOhrgmW0pdgiWN9pYHfNWeFQcR+LigekKqfKZz1ynzqkkVb9oSDqphkcwmFsG5p8kFANP+SVi81d
qDeRUraHfkwi8Nd5qrwJdGDMIDV9iE92OBSTZ5YqJGRMDfuup6ouZCpvVDR+sE+tuzFbn60A3cl3
ZnJV6n4ds9Zopup+npXHyiwf2JLKjSoQwanteLCUmShY56jZug8h/L0lZ8DMynETpeptnYprRDWP
YuhKP+5R1Ib9WqXhipFh+Tm3+MBjsqFDA42iaDndTDFdYSl4ZdtJtO+gk2BexR/NWCzYZGg53MkJ
IrWHMFzF2jaDSoApWzHmw8ji0kMNedKkfaUTmSw10tCk7eFstVFzxvQ0Yji1Q/0Uq+6LYtgwb3P9
Jqu6oDeLxyzBc92my0PfjttBavWlFq4bt+pTsGke2uTWlfVAj1+c2bAdtGJ+zDp5UqrhU23N2VeV
2faErksEnWiEFCXrgZhl+6ZTak+PLQ/qLJJ/wYli8ti9Esx2mQQ2lA89IczkRHv9ymas0OzAJp+V
wMmyxSsnglpx7b7HM5FzOgLePoTXSGSDVzriQL7YXsoWDBBoD51aANFO29TMnC1Z7HoStxBK5MVB
71uv68yLfoKRoldCeHE5bA01fMvYbmb5RCyAnPy0nF4jixAevqdX5S7NEyG6I7sqHLvKq9pGqdcO
+Ja0jGYACTaYF+eCMdkQOCrhAIRkWcRr6/s6LVcjEK246AsklSJiGmATl720cs8eegEHnRtBPti+
U4DhorZmgc/1fykZHNmKcVCa7pGB2l6V4nEcUFdEcaf6fSc0zh6Rnhn2wyTH/R/EJmGC4UCyAZF8
hkf+YLibNU29rCdd3ADGsvdJNuxcDBPo0Y9F1oVQMsUrx5CJeHdOrgjzJLgBgsLsFGyjwUQx5849
cyzf5q7aiiF5riIInG6fBREp2F6azzkLNTjWJDx991D7m9HbTyeIqbIPIViKswPvKPbvdXHy3QlV
6xPATcXVrvLiITM+0GT8v4X73/wIHHK4WVEnalDMfzqk5jqaujSxjKuse5PZ9Vzfl+5vIVP/nFHi
l2fUdf76/rX990NqfdWfh9QaOssJYFnWumJbc/f+PKQ07MQGc2fcIya9LuXaH0ZjkLj4QziJBNfh
N/vin9Nl0CwYAw0qJ6GhIQUd9ZNj5JcOkm+bt78K0vWQouliBsHFRy1mrA6X7y9APBuovg17vOq5
EhFFMO4c5lt7DZbO3eiKsNf0HYJ4iYpLv9d7wgMGXQnvHHv8JCVjKyxWKcsaWh3BiFXXGOvCRirH
wOitjYi4nnK73dA33RpuHu1Utwp34wAzco3Gjmv7DVnknTUsT/Eani3WGG1RIzpg3oH7rT7qNUCl
Yg3d1knfXnJxx8/Cw4A+pB0xBIo1qjt1ZOqBgrkAtvpgYGAG8BZ9pB18EHK+VWO6ijEqAGqCmEcS
uIhVdWs4OvEeTDEQT1SBw6h/YwuefkWOPzhaA7AbT29keuCuQrsD01pbw8exdnREQhBILudaD/Qs
3FlrWHmlE1se1sY9kk+MMK4vdT2QdadumjXiPCnmw6LxuOrX+PNIXR5N96MAEtkKoq2JSLeH/pnR
XOLVKYMAXACkfc5k1VmDZNM3zV8hcB8GzWbRqLAZVOPHSGMWzmnr5U7ebAyk5hER7Sl5wBB0L1fP
T1S1jxVR7lLSfVYZ2IOFQDvbazrtwKzmRqwZ8Ng9bh0+oRCf6Eap2u2Y55ctsfEW8fHZtDB2BWG2
MddsedceHwphvKSEzosa5RPeVGPLOL/buETTa6lzr6zKNmtRH5MhzdnOpjAaw4eaWPuaePuoZTbT
EXhPaOyXaVDua12ep3i6BZu3ZdH3LJX0PcdmtDHNGZFfzf5vySvstV3zaSMzVCX7WSgVF/yZziOK
o4YzNDQ+SUcIQsHbGeWyre3VWWkkdxVuchRq1UaNbLjs8H/asvqig0XWGbphp59eDQkInoucmKDV
uULsOHzI/ANe45Pb6mATmXGx2jtikoGN1n8QKEKaQ6zfm12EmRU9Ln6oa00dUSRlw+RjwSAeQZlT
X4mlg4rCqTeYqx7Tng9pKdnlmhhmAVqK2564d7cuyDwpgEKg50R3Go3RpZDV49S9MMrSuedeCqRj
rCFYGUcZu+neeKiaebUJte4hZGK0Qag57YwBWbcq0f/JRkuDed1mJkr9aZKH68KGbPryJozDdA56
ZDXLw0CoCLUCs27iiKMwM+7KUEeAokT6Y4J4FjW0vKOA5qidDQpDg7HpOPi5g1rFLt0dYtMO/6Lj
+ORP5scE/HRQDCDL6lF/qQYzDZaF2y2PuaTLsaegmMg+In3LUxKCfBx3unNq1H1VHF9N8fIhvnlr
I8dnfLVVR+nLjBXCwh4nKFms+BmzvNy2LyeDDXedeIvqPCVmuY0dLKe9g0as7w9ot1heQxuYqmt0
xluglL23KN0JjSBl49AfjbhkvERSb2bA7Jh1jeku+4O0vZ4a+eAiym115MhROL51lvFYVfpzoeLn
FiHIs1wH99Ysy5YE6UcTBzNMM/wcjq5djuFAUsCow7iNc0SxBIbpmmBIue5ievOlVtAKi0YJWj37
nFH11an9WDcJklDjDRIqs6SCIO8eaK2sVAazMR6cZsSS1keKp4baGzn2t44oz/zxgPyny7jpM/sB
FdrIHQJp1BydOECf5tOSGnik3WWT4oOGeWki91dO9rLuSQS8bMpV3DC3zMwPUmhH1OynUPbnzEQU
h2ehZ0KEVoneAcdSUqCQtGH4GQUBDWHWf1UAx2wrt0m3PerLTV2rl2XoKkyuJaFhpXZcovBVmYtz
nC0PyqyL1SJL6E6T3s31RC7iOO5RbJaIO4m7sKPmfawogZUWkF9VlA+JY53iun5PGO0galMLVIbt
XinFg71GcIU1f43cxi2MFNh3QofHxniwC6TToSUpRDkd6v7dFaPBaj3nWusKmF+bXI2U9tiqawi1
ijAsMCy323Zh37ms/rre/of38BsbaU14/XXXXlfd69/URLzuj5oItZKORNmG9kD/Duftu5oIkLYL
BuJbQ+/Y1LJ/lEQEJSNTIvXvd74chdRffbvG7aSyH9cN47+GZa9b/e/m0JREDI4YRuOV0dn+UzP/
WBKlrZIJexHxVaFiIbuIBfz3SVNjhxSNsoyuK2U0j4tsrC9WbIyMlZQS3+Q4KeNLu9jdoxsb1Z3r
JubiAcQfCcIo7f6p06VGkB/Ba4EVp7j2EuVxErRjCPENLxci88RkoW4sdzLSruRg3Uf5/DpGy6uI
Q4Pe49bqnIIYI3UnchC4YsahpmVWMA2hT0bNkfkoHMwOTyIrxQ5Z8vyaNS0DXQxzG9Zta1wIVpuZ
xZGHjWkN+pjWsCcHG4R7MKKWQm0M93Vh3RqDeVskFvBinf1OOF0uThv57kCnXjZ3tS6+xA5mwiqk
ey5LtN/Ip3jmJW7hsY1mx2OYt6llnwenexYFGE6rzM/ojE8yziRZxIK8qc7GvN+i2S7G2vHqJbsd
mvqhMZb6Qm8x1JM1p21QjE6bFkUm2V2rUzJHAt/rrKQnROhnaAWAaepnBNWD12lq7Uu1/bp07Ywv
ccpxs8h93qWUncVey3q/tmEOz4rrGQbnDQXxVlb4hOOUzwAcFFLuwTH3Sck/GcMkN6VbPZZx9mG7
2Y1jxL5T5+9aFt9bFdr7vk+NMzl/BxydN3B8iYowbcAXlHUIfa1ztPJmqty4jS0LADVETqbZH1ZV
nhaW9fXssCxViacrS5ugsKFKQWVMp5IU5V4dsdRW5S5PEB0LQ+Iv0CgIm/IxtTp2UxxAW21KAqvu
70g9w0gzMheJVWdrNPZwKdcUL3vuCEpujUOfWcUjS/XJbzN5swx096Ye45CSDHqgpvvpLB/aOX0L
h5EpdNzKDe3H1m6dJ1AtzzZoZsGIJi8iFl3rr6EOt8oM7y5crnJ0110i0KOjW56rS2OQ59zNrpfZ
+pJYbrEtif3atlNChQrWGWzWfMLOxdDZTM+VqBgHtPziivOk2LGy6U34HFo6hZ7SJttszMDRF//H
3pl0t22t2/a/3D4yUG4AjdshSJAUSZGianUwZFtGXdf49XdCiRNJ0bFfzuumcTLGiSPBADZ28X1r
zXUkNnGn2+LU1Va5aGa7sW/qQKrLJ9IaoJWrOH0SfyFykBOdOI4hSW/YTneSTeO0KymnefWNFZlf
yKk7VKJ9Ub30hil/C3ZmH3UxaHmy2JwmsWuy1ngPaLC+JUrPJzaxAbWGBHtmJo7cvFg0ffDAlh6g
oZweVU850SxwSzv+gtXNsVC6I7zHxZlq6akhymufaRTi0ia7DwQFYgoJ6kLimLSTkrZwjDmVyIMu
4Jhp+oyiLV7hUrtSau8hIYbPQdiJQpHmoW1N+yRrDq0CYKbVH8G4P1NfIweLi/bqVQTQO/FIRCLY
pwYLomtYSQr4t6GXHFqqnYtMt7BIxBk72pk+qbC1MIILu220XahU2VU9xF59MXTK3BbPiGUDt720
7RKdQmTdtylwFD9POVqV9IjdMpGbNXto+qBZDgJt0NXTMOoXVMOVy4APy+GdG8fMpFZjdPDlRGMO
91OZ+edKUZJdRCT2uuERrPpESjYKbmK2EhQVCef2fHnRiSbYNJLGfpm+FFmNoIBdKYLa/bo6/Vu4
UDnH/2SZfsm+5V/D7BNC7PyDP9ZpCuyAAsmgVClu0fblj/6sXei/UYHALYW7dHa90g3+4W19LXgA
GbQpqKma/pbKRO2Cdo9MqUNRjX9StzDEh14WhTNDU03ItZYwbNP+2Cw24TtYiHOloyIlDpYSxZH1
6cXr0TixkxWLVpNd9CxuNfppQipeUZ3tKpWuVLOTCHU388w8+75Nw9HGAb7EnlHde1Zojl+xiuGn
4rCPAwUreUQqDmQna8IahhOpZu+wBhEFtG+2oYNZG1ZdIdluhUc9K2L5q19iWy/VoXDz2creE1Cw
6GZ7e5Pz32qz5b2N1eqpeLXBz4b4KeiMiz4zL6KoIqQSKTEZRbRd8dG3Kvm6A0bKbrbYU6JFuDuX
X3Hfj7MNPzWNFRNEd2nNFv20ivyVPdv2qxFmBPh5DkQxndAcfZLGhntlsVBzmsH6PyEt4dRVnyKC
9xbZ2CSPLH7jtaLchzoBvbUUX4alHyzpcVxFU5PhxFIOo8zWxWJqhFz/tQ7JoLNoWugNuavWjCkw
Z2BBAwf7InuFGMw4g3is5VVtzIyDig0DEyrgg65AK8ZrkY4YPCBZwUcgSFbDpKNflDM6Ie7y4Wpi
2sbrqMdXA4SFfEYt2DN0gbQPfiieptBlCQD+4WhZAsJkJjVUM7NhesU3DINuLWtrhjpE+EUpnGSF
d00Mc7HuXpN2GNjZNqu6jskM3IInJOsQ6iB+F43tHWLBD2cHpWy9K6UNHpPAIGcuE89+hb6jh9i9
op/0GCuNv/Ka4jvbjNRpJH8PeSgF0TceExQ0WFDS78FkLGmsN8cRxoWTmuQm6JUVExARU3bpxLbq
SvNCNSj/d9F4HUQQCtQ0XesB/7Ary1EGg3qC/urYDtui5y/QvHq5q65X9UM32y1GijsKIQDayTDq
eBZyj6DaQctqJI+Axy2ipNnDtpPxs6G5RIgs3Ko0yp3QmcSlPF/n1eyytKZ2DX75aa7XN7DDHFyj
9UU/gIZKOl9xDd2zCKJOXSm1v6lSTXBWepW37a0naYe64KC2UKXikuTmcavOXEx4SZvZf7xI6VHc
yJHnrSzrpZGGXZggodHN/Rjk9opcjXU5jCtBKB73TBxItjdSPOmdtDOUcJ8GBEuGreEdMquol6ko
QHcF/nUwDv6WvM0t7KlNXPKSyEK5KPoQGUlk4kmMrWe/7fkCRXiE1UQwYcZiLDVdCsKcEE2RbO3G
WFlV9ZxWiL/Rl8F2+C7MkKklddnVu0VcOnJHe4Az6bmgZxAU0dYECU1Et9Mr5GkFDUqKfkhurUQ+
smm7FZ1sMUjtXBw9+oQXnjV9L0rlbEztdk4+0dJ0JRoiweRg2BlS7OB9eA6EthZVt6p9ZHmRYZ3q
ODtbufrNpgRCdVJ7aezxrGPjXaZlAdtrggtMMgrvGAkQxBZ0U2idnI7kUORe6Vfk5zf9PB6VONpW
bXCa8uGYWvGMrpkNwBszzR0mUjYWhnxFmi0hfqNDYus289qlZLEBmaQ1m8WNiewkLSip1YMrGbOa
TA2/CmsOJy82EhCVGKfwWOTHrJCtVSZTOWtA5EStf1IbmB6dvxnAaaW5tKcM645J+IxUbDHGg1Py
iag6tuhKWVIVd7wmeamSl9xrzwNS28iSKZPRf+kJvC4RjU0gonWuQZ9L98gq1K3ruhEuxxYABMNZ
H+ybJJpUEGgwPYiiXKd65diezQj0QJCZsmvZ6feRzj0znEvMm1MTTywsaDN+HWxpvG2GqXqQlYYt
lnUtRPFgBfXZp3rcpt+ysXgpZRld7KAsTC10iQWglkDGra+vAkyBvhZcaRD/8047s9n8rkhkdFfy
7FNbFLK8kexuY9WSKwfJdUSGYWMotxxtFqYHQVwYxcqToEvLrcuneFnblqto9YXmjVywXBFzPnD8
ATtWehnccvUrofEP/CqdKHG6srVeEDIXECkQ9A4c9Oc6q+keSjscs9tJMhE1k/3dVbEbwPkH00Bt
izhmuoDCXKtNd5+22VMDCWkszK1pmvg5IBLlTbXJLGNLlgxHM8NGBdg99JV8n1fROZeUtacP7DZb
np298rNmYzYGo9ME9dldQfbdFSj3Oqm9TkJzYw3e0Ztj9PT0gqLhAcCftcja0E0TEoM9ecsHtih6
6yqq7D2wmsdCoMisaKaqtnXrVeKqrupjVhtnuD7yAh75dTvbmfEPLqqJc5uR7BPDh45dykQ0+Ydq
nqim/GGMm51aGeuiCPiye87nvVP386Yn2xHmclsV44Wi5jsJf+aRRFXvC/6k5LrGr+FMakMBiTzy
vqeJG7PwRLhCxW3UpOZWRX5Ifbx5BMfBiS3G5Q/fKVS+iZRGZVM+xFWwlVXlyHyLL6aK6fzXO2Oa
pUtE5FLPVB4Doy5cW4tv0qoBEz/E61hTTlFMjlFM4EWW95qLRWDjxQLrp5SuQuqGHcp8k7Kxo4zq
HO63MoLsNPhiHXnDxYAZuZBQcpNh2sC9n5GsfAF1sog6c9W2/qoKpMwhvhtJfEv+F4sEaK5NJ1nf
us5wAa2v/c50Q3lY0YBl/qmjAenj5A5ptqM2uasa4yY3KCVXQBLAAC6akCIykeUXmUrUlZzwndJo
V3IAks1hokRSV8VX5JkIU2s4hclw6HS6z6nM8vdmS/v/1Fo1UDqpgoieWev0UWBEXbqq2jCTjnK6
CaN4kcdnKfjjAPEfBV2z6vGv9hmqJbahtOroL2tAjOgSva8VhVIqCzp40nGwvlT9um8fhxyqzzLF
ZvXz2/lsw/v2Sh/0l7mH9XnyuJJqXQY6xyWT+vi0zcVd1D6FuXB+frm/d425Mb4m/CAcBkGFv78x
oJet5SW5f+qkp6bdlf7XLPn680t8dkfsltkscxkN0PH7S3gCApY9FsEJl3HUr9txXCXkuKb+OkQo
ojaXP7/cJ3cEwoVDC612qnrig7y0I9VdHeUmPAGPXoQavi344/Ev7umD4mweD+8u8kFNWntSYwiP
i0RU05pqH9nB8v/vNubbfKMY6JqJEggMslNVHAj5cmKYDWb4i4tQgf04rN/dxodXU8TQp7u0Dk+D
RLKnQcjUCdQ7E9wjzUxRH1Vc9v/8toDugVUzBALgj1K6OLTg1kZKeDLLq1L2HZCzpvf9n18Du6vQ
hcY4IGXp/aODgSAJq6uiE/hPUsNoZOVOn9z+/CKfPTqinejba4pm0r9/f5G8D0wzDIeI9/OYCWIQ
OXswGdjeddTudOyCvXf18yvOY+rDHMQU99cVP7wsFMo4GpQxOsnoemBYo0L4xWQwIzDfXGK2ABuK
iUmYmF4dFPNH8Xed63hRByU9RXvkZlsWzwPcwZVxFZwNJ1uFruVI7s/v6v0lX2fWd3f1Yb4j1CUd
sFdGp04gYab2qNpMCvnm51f5/NlR6JdZOQ3xCn5+8zWJCY1Fg0775JVkwCk7C0DDz68wP/2Pb0dH
g4hFEBkO2qL346GA066M4OlOJkff0VLZbT6FOlHpUfSLe/nsib290ocJjhMxcBZTRCfFeAmsK8O7
LqdfTG+fXwIovmJjicQh/v5mQnrclj758SnLjgba4QHglNqKXyx1n31CDLY/r/Lh1ccVwLDR5yph
/DWRsGrQN9WhC7dO3JykeJ0Yv3hHf7stbOlA1yC9shSh1PzQ8SF0xSToOE9OTbcGI9QLAjrPPx8G
fxtoHy5BLe3ttJ11Pg80KJNTDy9EkUiWoDH731xCs5gL2PBQZ3t/iWgYSBfkpHWqk6/StKVJ8IsL
/G0ocw9035CrGRTeUG6/vwBTp9kr2ZSe2OelrUHfZDs3uDP75fVG/q3KqnySP6nKYv7he3xh8W7G
7bf//Z8/Oq780I+K7CvnwWJbRgMNcJzBH/1ZkUVNZphYmFUEZXPh9a+KrAIcgjzBPyj5c1P1j87p
KwECDTVyaKqChAT+I8XzjDx+M9XRONUho5Iopigqv0t9dRm/mUzLvNSRYkTBCd2UYW3KV5qCYR4V
bPq0efxX1AK5Dz3chbbADY/pdQYyAFZvKtd6BTX0r9CG3qo3oAk07xmbXySverL2pB03TWiFQnGM
zBhMFP5Jj7OQFN5SD4DdKK06MCdNBrwWJ6ltD9+fmZngZLpRiIYDH2DPEVZ9C6ieCPAy2Jh9y1hO
IgPo2oB9dlP6lR2BHYaqJMo+qY6+PuNvW1CJ5soHzATPwBJLeWpa6cVAIrr+d+i/Mk5UxuPPhv6n
vQh+5s+Rjzifgj+TjzrLIufh/WPk81EIAJsyR2uIJawbf458bRZLIvfnm2DC+t3b/5dogJ4GfjJi
mGyFH/tHLn2Y3x/HPpmdbI0UldAYk13s/Odvxn49sfy2RisufS2b9uSUyQWVJwuOz1IaiOCaEIq1
OPskcoCSpdV4Zk4xPSXutg2j1+KhnBysmctJqcjnGr5TIwvXKQW1ekRJBRs0JfipN5Jh0ZOZ69/3
bSoVy0n2wRIBRJLsYlvrFaoruzPEcNVGpkozUsp91zQqiSSF7F6VKRHSs9k0c9u/rrtmUXZ4EQns
TTkPSbXrtfJNBDGrygT29xR13SifUU2DVlNmxZNX7Io83WWlt1f64W7EG4bnnpZ3UaTrttjSJqZy
5BcA5kQUOiQYQBkZzH4RWlQJWm/CXzlMxEbbqOa6dpFAQobZFS+AI81SOaI4+9S6mDFq6tAMy7Dt
Hhoq2AvQwUR6ygb1w/FU59no9qLDWtnamLa6snE0cxqWcUOlCCcfmWwGBQ9C0Vd4q8claqfS6a3u
m6QPu0SCeNfSi3BST/k2DEWOJ792oQ5sQoNaIKGa+8hSCwdM9F1rjCRclf2+btmAdGGnrgjavZZo
kZdmq7pe7DnpTCL0CNvbsk/2F4OeX0ZqfgZw4rCzANI2OQFgwEVHAxt4KPK85IuOhG5RBaBNNbo7
SUxGjo4PpPAvdC9dVQUcO9z1AJubIUL3kMeuNZoSbe/mkEo01VGd4vvFB6/4/n2LCIOToB2utVEL
l5LwT0xneEPtxkH7d9ERcb4o5erez2ksTLGxG0fluvGHFUl46GAHUq+y6Oxn3T40tGVshnMOwRSu
PAMYVYHGflPFXuDIg32SjRwgZKm95IlSbxTkQHhM8ktDIaE00Gj5a/EtW+27NCrhwpZHCTkXwrJY
XehIOx0ridwoSe9601rOhIdW1h7lgrRtk5Zw1yfXQ2xsM78E/jlXrQOL4+dYRx0DXQ12eJrBpdsT
csi+v89YD5eR2twPXn+n6PWNXmN4gNizzgL7GNUGxE2aJkbzZSBnAVYEpbvWjEl7jcEJWkq61Jr2
2ouwvOSR0lIZ9bd+rfubsinPrZgeqbk/EfwXouSDImlHYQnKXFccXW5vu5CKtBIDashFcCFJ+YVs
2s8ZShn0pqXqqLlyzUnXDSv9BiHwGl7gqScNmk2zdq0TDry0AtJhtEG69AP9EJqF5BCZ5g5hQgfO
zNaZMj6n/jRsIL1v2g6amhRYtpNJdPG1NMndpskeowzpC6HwGLWHydrZ8mgtiZhbozGu5sRIN+1N
BqmK/QKUiVgIqSdNcjwqik6FHZx9XpGebZqoSr3gAk8OuDtleIlD+xzpQIgEScGUKIdxUU/j975D
xtJ1aLfRSOsOZyqUO/Xs/Tfxw3pJe43FlaEDzgSeOVi4vAiBhY254eh5sIn94VkETUb8b5atBmGj
TSgPiqS/xPRBcJ/AL6poFzpGY7pY675Xvb4juGUzTvljZvoq0qlya2rQKAr4tXJVdq41SLAMWzRL
g6pvffBHC6IlZ/tPdFBgBBCTCKw22oFXoZxMLHASbYOmvPaC8nszkPeR9dV+zL2jkIqbgu0LjVJ0
DTKlXQgazHtVSFUZJtHKzNt+HcX5fZY3o2P26BcTzCWGB+K7h5fghF1/Z9dI2NscglKX0aOCGv84
IJvncxzIyGzlmSeU42tSIUeMwb3av/TVSECKgTcrG/VdINLHYeSJKja18r5RITfkd6+0ca3GWqVz
tvMbNJ2xSSlaoyBf58gd9aepkr93CoMBqcpNUfHCMJtqSyNpSKPzs9ItU/MEW3UFc1yB8NpLQFS6
S/pOZ26VNnVwnKC709ybfbedhAQ+Mfcmi/sS+uaW0FKaYZ41bPXeuFYL7yEwMetXSfiS9lTrPb1H
1cPhZlPH3a2WYaynvjfREKs6mhr/7pJ+3yWxN//pLql5AR7yyRmBn/uxUyJiEtEG53PqDfNG6c1O
iZgtiEScD/9wo7CB/yGvFL8BCMeDZLL6vzkh/J5rZ1NdmoWVHMn/kWyD/JOP2ySbqhgnBEvDj6Rw
9Hi/TUoL8mtHSAOXqTZ1LvGPOhRN89Ekdi0323u1EbfxdOURyqaWykolpK1t/FtvTm2ju605MHiX
JYFuCLcId9P6+Dad096UOfdtJAAOGTgxCT2B1kTDyT6MaZYWhCAVmRpzfpwqK0/SnCinzNly2pwy
xzTnuRNWgT6sxMbzq4uspwwdacF9Sm+OLKbHif5dUlhAZcPyeYziKzvQniuhPAzdqDqiGWZqce6M
QYwWqox2OC7AbKd5dz/K1lOIYH2Xkd2xUnrCNeQiuo3b5EkezWmrpzRhQZ+ho5g2U6k+dXV6acOt
HIV5bVfrGGxcaWO1R8h/2wbhoxVKm17O7+tK8i9MtVja4G/TrCPvF8ZHMl4OY3g5KwbLsYph9gbf
cjRh7B7LRSn6S3sWxwGg3uq5i7JlEYw0f9Xr2TlPj7uJH0s1YPIronVdTzTMSShKdDqTjQGcLI5U
um+6t8iNut50ws7AEWt0mqS9SPN+kzcARr2wXfV5RI9c7IVMJ18XAfuaJNmUefKtoje0bFTk+EEl
rysxBY7RtafRsjdyxPIkg6pcBxld7hAhSJJxvYTmrOHP7pPqizyNIcgQyqrwTHO6WoPwbFKdzT39
t2NS2JdpoS9FhCkpH6N97wdQTswlsN100ej0zBPZ6IiYmIVr9MEd0YOnTWJ4HolJpj0ZG5C8TXwQ
Y2gjsEinE3DPZ7QVW3+2LLY1LWqsn7My6Ko3Re2YCvXwUiN7JCodvYzOmcKeOeDNSYV2a4B6K1OS
iKmkWftSUraJlR+g4D7hzL0LavCtpYX9sB+95SQEyyVRqs5YsTGJo2bbjU2+7CBQtSHH5wnCoxMG
6ZVX6xpZYcMGsGHuVhw4IM2JfhHnW00NIwc163feB66H4qhXAeJbeW0oCc179lNwJmi5J9p1NGVP
4LmIzOoP+cTJBInPhVc3exkuq5oCH0rkYmt11peIaGY78NdCVzEkQZaAQ32NneeWrtNWzvKLFnhC
LsQ2JpEEceNTVie3IsZTk0z9Xteqndbmh7bDIkvr+ipJu/XghXt9ZuFPuAHsfKvM9b1R5/gdXPg6
yoVq1HYFqJa+lk9yoCduO1XsOZqHHq4xIqyJbRXR8y3+l3EyLypbPRthsYvDbqPHI8zjJG23UQcx
Rq4OfmGiSejQK5HxggLqus7re5bEnTdEhzbQl4E/njM5QZDLRx8nuEn68N6PzbXh55tUhNZ2NLK1
IAmB0dEctMwOHc6bVzoSCk6ZV6nUofmVSydoqy2xMw/yADrCkpNkaavtuQ+MfQstcgGOCG/alD5Q
itiYLWv12CxJsuVwhs5IS8TTZNnrXupXjc02LeweMwy0tSF/n2q/XZBCsJrQhoYcgjnaTYQ7nFVq
SVjA+kR1rdxg7hs0OO46odSVSHa23+4R3m6Hpm1IzrF3AX4bvUt2nj/2C3rUh97TaSTb2RfyFOBP
VMmlJNvrMrcvKyBCiEsHNy1lhbg65S5UcGtBEtNiCbt0dD3NrxAt/5eCPJm89lcYa3eKL90PcnfU
FOVSjodlIPDXVWP/rEocg8LCR6MCZr9seBeVYrhZ64dwh9OnQtMOo83xtwmrTZxH6zgr+mUtlDuE
Jxdl3S2CIFrCmL8C5a04qn5j+i18lOlLlJjXk9H4+8woi63se+cizQ7SbHz3ymSlT8aTUog1+egL
XUPjHDWws/pqUDcxR1pV9V9idojUimaKvjnucSGoroKnzJVDbW2WBkkzSVCgz2dvL3x5g6fkoe7D
65Kj/tj6N15VbyDvc/LrrbusD9fc8w2JTPdNGXTbQT/FMYoAGZ58JIBGpsPa0PNj3/g3oUzsnCW6
jQTKpZkIV6jF1ZQo5CXYPBrlKMEnXgToTrpWvSZA1VrJCpmsVtXjVlP6q0IThzphvV8ltaSSUtiX
4Z0B+ZfJnzBHNcMXlkIud4NSgNxEAxdaHV8nNQrEjgsxZ0mOY7Fhw7g2/cw+oRTHwzmnTk5SCHVp
TqLEMzQsujb90mHt1EUWuawwSOFwZRB/nDgDkjyDiCuPQMXlMCdd5p3dXUTJgGOKUIGsqpE06kQp
jQB0tDkrU4RY+40kue9yX+XETqKmCZ7EVYLalBZpJGC4pD7OtYbQzVJpHiLFRHRvTJXktlZvXNU9
AVOJNSFx7BPdAlIOTwT72ZQsJ0Xao6K8AM10Uq3Y1YdoZarTHeloZ7+sCJtXUYBiVFQTAn4ypXzw
AOnPMopVpdTQT+Jh3eqIsbWm+dJFUEdj61H3tEPXI+lDag2rzG08HHZafYOeZ1xaZvDMzHpH/uwG
DepRNoYXwjh36cRjsgMUHyG7/loirXcydmaYHiAuauyQU5IqkZIU6GBalmhqk8iQKu8YUehI4vzc
1Jj+UFFvC1/sjSHcKBVW25gMRxtMTC7Hy9CEfiAi7cru0+sGeESXj1CnsuwmA/VDaSLecejcyrJ0
gMbvsBVaq0O5bTwbQ2iw9c1y5xfNvdC1XYJ9q9JYaTULrF3xlYPxKor9q8FjpzAiS5q8YFVxGjbK
5iUN7L2UZU7NoBvAFpLu8FVoMhw8O9ti6TpXKlnYaujYOvUtLRWbYJCv6xgIfpORjwKjcTGSTQpX
Cj415pIZdNBiymoiZZO26gOdJiIblME1yDjTUIiztSgXoPxKZvf4IdFaxycLDJi9urJjCr8kqELP
iu6Auq7hnZ+AVQfoWpSbsVdcLSruc+qAnJzx80pd+M2r8o64hr5dNYF22RvypedrBJM1YkVXY6V7
5jqyw60dyrYL133XxdNLMRqXTaFwx+S57oXKYPHz3qCyRIUrIHVt5Y3COuZKfpHp1BMSasVBI18l
urRPGjgI+CvdmqAJYscC3C012pRgFI9Gj+jTZqZBwjPsh8FCedfn9wM56VgHH1U18twiLB9k1FQQ
cVs3rrsEvQ13bXnKxp6nHsx/iy63g41fJZFjFPGhQKIZ+9J0lNRqVyhzriraPTyzKSfFARTvWOIH
4P+RIbtUuvLaD4diDS93S80gwnvYAiicV21DfxgUPrQI5vuyGpDRlaN+qcThJR4NR4/0YGsGU70n
yG2GJGj3qp/4Fz3ma7tOHpHb6pv5c4fOSCM8YzWnxac9WgHulUK/oo4Y7m1485ZSbP1CvlF9djS5
IaP3aylkkJGTxvvSl9etSWKsb6TfWytPmMtVDrPWTdzkFyEn/JhyYJcQgVWrzcOolGd7IBQtK8zL
SPGJk4twkOojuYTRXZnYj/qgnZG/5DtDI7OjBYThqo3+OKXQ0MH9zWk61GA6frFUKm4OER4XiN5t
iJZFm43UO3J8PZW1a9JMVI4RVUW1Fr6mrlKK04S0UpXQmyLnzYnv9Hvj+C2rlYPdmx4LzjSUokQk
A89USDymBfv+AKWGsjyAjQ+PUUHnLTvU00CO7vXPL/Kh0ffHRYCCwqVAr/exmB17Q0WGRB0e5XEr
ZQcZ2rSk3zT9zc8vw0n07/di0srSaR1R8PrQTfZkgoJR1LFxV7/3+a2k/UIB9snvp/IP8wL0BY/r
47Oq7VHkuUiTY9Yz0DaW9/yP//6An1SeEA9qNja8fxe+ORdojTI94odPjZPxB1bjP4rLPgikfn8N
b57Ph3cNaVOhfM/z0dM1EUMxTipzqVNvf0mi5c9v5ZNLzYC/ub9rIISwP7yKxKJe2E95fJSjDXK8
Rl4UFFJ1h2VYKn7RRp7/2m8UEfNtvXst8xB/0yqRlTDtTJEkx4I8dkJ3OXc1S+bUsXP/+U29ff8f
biozIxsV2+8XoioO0ngIXNaReSkufjHWPvkucaEgA5zpiJo6I0De3pRmZGrOwpsda831kueO/Cvv
689v57Ph/OYSH4fbRBpZDjMzO2bWc+Q96tJ/MZxnThWtYvQqePHf30JUkt6gS2p2jJgBKeAm438x
edEhk4VG9UfVhKq+v0ImZezvhZIfJ/O5Ny/buePT/GLu+mwkM4hpdus4eJXZtPT2RdhBSny2NaVH
BM5YLeaOi3HVQeigVab9YiR/ci2C4VW0ZCaRqNSf3l8r8KBqQ6vIjsF8pl5BgwzAt5bU1Nfq+fXl
/6uJUJke/nPJ8/Kle/7GOP6bKIKfelPwpHg6R0tA50Q5yFv60Rqm4KnCT0fwiQ+NziwzwI+CJyHN
qhDIFdAqzMnOjMUfrWEbZI+BksHG+fZPnWqa9n66QxVh4ubBD8ekSt2Vv8X7QQIutdAMLxyPYXbS
RqgGqsfZe2js22GC9SiP4F9tyA7WlJytUf8yFolELtikQOIiCWEMgciYkCHq2D5qMnPXIIkvZEMc
kta+A1Nzq/XZd7TcbjlDJkI0mkmRFuSrCdWhIE8+YrpHOo5ofYZUxBN7XbnEu8BiQEkwvhO+mFyN
dXKh4ARQVagzuWo8xIl554/TF0IqKPPNcXUQMiDfnCqIGSG7zjVaqusUlkaeD/6lB10j77uCLKR6
p1gcmgaQYykkDo0w5wgyB9lC2xZSB/sbD2dL5maBdN/C8sB6s0B5eMki5E46XHAM0d7Ky2oEzpBA
aLq5pYVNTsOzrejKN9qcxzpWBMCbcryeyOQJOw9AWVGTewRTxIi00JGEjuIE4AqQbuMxnYAri94z
V0MoJxdmHtrLsldAmAzenI4RLa1+rnTOdOiR1KIefIYGAUVgZ+GEYtzRaYLd5tPLY5ve+oTZt68E
lUFQJ71V+p6NHva5Enh22cgkmkSodKnF+tGcMeIn+tIDFrIoSRDjtL+Ka3Ir58SrvhOrFq/Pgkjg
9SDrnfMasO1hCNFNNC04xV4KYrcTGU4L2t+nSScUBCUzxw2vvW2y7CnEKuMZmOYS8gz1eju2LUh9
M+JQmG1gBEqrIC4M+s7dwZZzthGU1oJAvh91cZEW1DpTY3wuFaO81VMsLql+VnB590UPHmRYD1Hk
0RX36NKH3gbhLBTuUtuB31AWtoRDZJRGNDepdSd1WKdEKbm9rWK47NAX0JW0vH472SQ8yXlBwq9P
qtRMZcHqvw7DgHgPcyLj1nO1FruBhJywqtq7ibpAYqjfc41n5kWceywK8V58i3Pl0U+htQR0o4bG
oms9PdQV6UYy7UXKeaaTUM/KhuYibUHtq9H00OHN4oz/3IzhyjTUHV3cpRIWjyLsm6WnUaiLZY7e
SZXctHp1G7DMLopWr/mrxTvMk6tiJtk05mNpcwyuWnGoCvM8Bfpa1rx7BW/cWh7x9LXtk2H5ZwiM
rqlkR/wCx6GQCSkTk4qcAK1DKbI9ycCXqua7cfYtplfdcr5Y1b23zsNeXtiJPsfcjacQVp0le/wb
QO5cu36YAEQ7nlCfU49YMkOOG0euCaxKYFXhproREzbVIU+ILK/MGzAVO7wvj5MVHBJ7uNJUIpnl
mKi40v7mpfImtS2GkVmCNE4ZgN5slxpWXqQS5a4XfFDKDcP4wWzQUCleftmEeG5s7Zs9jdUqkvpT
7lGASmtFn2lZ8Pa9DMiKCCjGN1R3jHhITmNsn2PgA/PBGC53B+qXyG2AEcL+MnjNc5yUJ0+pkG+Y
hresexkhxVjaqyoydgXxkKdJs9ZwFAPQRTM/psiUr94IUcYHLTPl+V6b/C8KNYt2Zs+kM4WmiVXy
Yn0CH4ugxmFGQQnswEtemNOqxZgPAqGYXYilvSgamyeAZYe5CPKNp1f7CRROoyoXIWicIGjOFXUv
PFvaVgDPGYDoAKih6ANWp2gCmVoUpB10qssoSInlNPXf9+T/LvnzCv2fl/xj9UxsyydLPj/1Y8lX
zN/0WdiFjsACmTzr0X8s+Yr1G4uAobK6W+wB4eP9ueRrv9HFFDD2sbTTgXyb2aL9BoxG8D9+7cye
Uf+JO50+Jmv6X0ccTprscPn9NidYFR+A9WETWgqIkr0pe4fKVoKVNiWxjTzR9nbSUMq7zKyJWZLk
sX3So+Ai9MZHwgMnpzCjr1oH1x3ATG+C4qBVsio1GQhdUZIXFIURLA4R5HcAXmDgY82vSc/k88Ln
GgqVSVurnnUg/y9NK3uVq2YGCxKJQ4BFc2zSQ+SSWxyVqyaBze8An+pcCGp4U5EW2Qub/JT6NUkl
DgtSVaI5YGUgbEkCv803jbTCCD3q8OSxeBYhcWIW8EhaZLv4gqn8jWQwBf/H3pksx22sUfpV+gWg
ADIxbgs1k8XiTIobBCmRmOcZT99fUpas6/a90d57ZUeQJZXIQuY/nPMdklwyBtcVyS5sLk4LSS+G
XC4jkl9Qcl+aZXYwSISZGI74lt3g1TaIiynboV+L1owuK9Pe6ZV2nfDM31aBe9GpuBlbBc+EDGYu
i7YktkQb081skyLWVBpIsro/T1171lLS90Y2SIReUj2U5biJENN5HE0dIM9Yzs1HKru7ONPvCEXJ
LQZGXXGt1elykiZimbrahpUdPYM89J2O+Js2yHGogReRZfThtBBRRcXUUpQuw8qeakHmd5ptjdvK
5XZwakynTZPvUOUQdAOHgLCyaRUsjr0WRhGdhxDCTlxBzJEozrpJK29t8FQeDBfkfg2Uw56IREGu
X6ydjEVuB9tQed2V+dB65KNw7zEkzsBeZVgiKPR8Em2a1VI51Vcr6MkVNDQmlqsC3I/fzmzFf3sU
r/8/xk88cMoo4YJaFUxs/jLygCA/6qnXkvCoR9VWZqN4hTnv+iNokT8cb/+ef6pz/+/n3zXxE6/t
/3v+qVf9PP/QeOgANtBPfDJA/5L3h9Sb5kXH6fYp6f55/pn6F5MvkfmHLuOPU/PPlgeKhqBJEfim
PxUg/4Qq6qiPwe/nH+M8umK6K6VUh8r1l48JARUF4u3ZOFtImNI9iGTCZtw6PSVB5ptLe+NGyxPP
1krUXbYbQ++JkJZ2lau89jLceUFGJ0NrgauU47NsbuyhBOmrX/TQiOx8OsipXS/93kq0r2UYAk6E
BBiejcQLT2XcEvdrweB0DIajactq3J6X71T3zLR7SlHwBV/RncOHkhoxC2P3dSnz/UhZtpbWcE1d
KDc1jGK+rl8sA1IqSM8nk8cBGF72WGj9DGpDf4+r9mNcxHeXCAJw2mnkg/O8y90JDOAEpGfWnpoF
bDDZT3RAtosp37sq7Hm+0Mz0ljtCgQgg5EwBJxgEWf6n/eApNvlG0NqDscaLLBA4xvGKkGixziOy
gVCfftPTZ6rEqCU9pNXhKkIhs5XVMHC6Zk2vN5u+lWLV5nIgJ2FdIV9nsyg779WITZLt4qlh8VAM
EUo0oufQLte0LBopuyqYjquDvvQzrE64JJCoADsphgY0tYq1m0MC7pBQAAxfsuZmKIm/A5ZdY0kl
Ek8A8Fm1KiYvUoF5uYrOy2v7uVwaLiiCpDamCtgryxbYkcJUTip+L1BBfLaK5EOdZMIMIKYvIa8v
UsF9norwg1EZnwIV6zd6fXuM8CXvJhX6xz4BN2KtogC1SAY7I+0/hIoJrCPyuGsVHWiQITgQm7EC
ckO2jQoYNGrOyliFDpq6/e6pGMK+HscNOgF6EDIKM71v/dJKsmtXhumGhCSk/xo9hAdEbWeqoMN0
aK0dEu/3XIUgopTFiaCCER0VkchPDpeBik10S7b+YiZKMdAxfrU64sBCUAHIz8xFQ8Uv5rgd3qoZ
Z2oJT2vVqqzHztWai1FFN4Zj3+y8CFUSZAW5qxA5b/jlmaugtT5iBnqAQSIoA6bcKdE4qZEqJjLx
Klikrmu+6Tnaa4g28ClUsCQdFCHZlTlsAI6SO5moCMqkQJTMMxcem0To+3FJi24TASDQN5OKsERU
3iQfGerrvYsB5KY0wNgjAG0vumDR0XjQyTf6dJ9pRojMJiNhQnopkqT6EeJa6OtLAIfGG8tNG0Gl
H9qvWlg/ZWUBYtT1uKdzGpAhL0u2TIR5OnPyaBTldVK38cvssbcWURixbXcR9FbspJb+hpR42HWE
J/nQfOqD19vvUTa8UPpsx9CFEedpH2PSKX1y/BWW1BEp0/NkE6qLlNL2s7xRh4h34kdx6FPvo+Q5
1dQd2uXuPZFd17URHSuD1L2iKa/wj30Ttvc0ZNq0NpqJrNzGPbhNsy+X9q5dvAeSl4KN3sEErftm
A8clJhwlnndSMB0Ats5gAdv8yM3cuNFtqCNQd0LAbX0m6wtLX15ptlWkqdjHZXRMneDsyvGkTbJe
z1hXeFKQoxZ82BgKZaAfkKG8JS4jADvtkn0oB1bFZi9ZBXrm0cZmuzLtskX/nL95LVk2ud4XLOHq
63LU7hhcKDVrGh9DdAa0jiRXpPPo8pboz2cNnAaAVnsVlGN4k7MCoZ1He9Grh2fRSRtmM5jsu8qK
NkkQezsdJ8BtFjbV2hVoNThh+l2b2NBtrMnbVaYxb5YkchUOJOOEcebd1M/JJmhjyQ47NzfekiBP
bqwPysiFiPXlgCjjTGt+kcvkErdhvpGjLnZyRKMs9SrYpnCKtpFj6bssCACH6GW5F/ZkqUQXGKfZ
wsY4FjshFQow4d1GOU+tGME4EagOlCzKFFqMU0qH/rcbC/6lVjNYClkfrvrEsHdawrglyQFD1yGk
wCJHocwx9Uf00b+ljslI/L+XOnfRa9v9zXRXvepXqUN+McpUEATCwv6hRrg/Wz0hv+iqxsCSyOKK
We2vVu/T2AZU3eVW5V6mDPo13aUKEnSAZLYrQxAv/0eKVutz6/KfpQ49JdN/Gkv8SfiJ/nO8iwtO
h7SHsVMnY4MBXN8ypBwf2XCFu67WzpVygLdLfEozAcpyxheHPWbjLkwfwS+/l318YnZ8j5WNjb5R
44qQ0D5aFI8kMe7drIdtHGx46vfjyH8RdKxGZp4sbr+2VseVPEaYCKJNO9WvkZOcWNu/w3/ZjJ7c
AKOi5jGqUz2Z32wTW8AMtJcYMiAdcd7vk6rZE1N/0cINY+i7XdBsaJBr2JkMyBvKB2ccrkYR9YgS
zXgXLeI1a6C+6/pzhBZh6wQgTas6n3cNkyjfs5gqmXZ7tKYOZT5eoU5oe08CMImSO0bElT9JSfJT
Nd0UhroL3Wo72moexZu7wNso/MUdl7VWGMVKA4nsyew7N3u1mwWFW0zG+0qbg3v8MB9ZRYSFXqBj
L9rklJItuI5DwkpR92Z+VDmW70zlzEXibri3j5HVFesQuz9SVu2Yo3xARHATNchdC9c7GoOGJsjq
TiDW7uuo39G33cRTrBHSheBzzsedvrjcsRwF7Mhupoiho+l6X5PEuMUFpQEQLR3wrjJHuyvvlzz+
miLUGjOoWbGbMpeL0TwiwUtq/UOJa/dM3MjXjPt5QyFH2HIgETtHT1HC+w9n+u8FbpZvI57o7bJa
VYU0NxjG3sskPWhgQEfYqVAZaA87g/DOmL9Hn9rVHJBTVxbRczDnt1MDuaYknxmvAFqKkFKjLhiI
djOj7pETzgce7a2NPDV3edmfSf98soyA33vb4+CY6pWeV1+NPr4kPOayiRHEaKHh0rgTt2cKLm+P
GFdURpI5WkdQoiyv8N4gLrMckC/YKMM2vgIa97VO6hhupJp5xiRCQtm2R97oOGC+MbJhXxv6tRAt
JKsR9L8RXDRhf0Bm8dBrw65sCyBBJVriiQljHkO3bQcPKdqIIC+LIEHrw/NSx+/tIPD8TDvwdJi+
CqCshV0iY+BfNTvXZT0SPukNd26abTtEhctVN5wCLd7OuncIp+JsWMW1GII9abhnrbe99aCk6ErR
1rMW78toWYuFmYWNCoQPaBz4tkbTUnugzAv+0CK3iAK0Re6PShyZ68MHUd/pGnaasxGVelTT9m1K
MFwAGHOSqT+UWk16Qe+BVCqsQ2QgAloQZTaUjDJeuYU37TQshBtrkmCYgDptPc2V2waLXThFbF2C
NNnmg/m9Z30LDy39XsrhuV76b4szJpuyRSMbyvGaMHKiTGIbu1BndxuOo0H6Vl+gDUKu011w9qg2
pUIhONU1IUJ5d7AKlHjM5ivbehg+Q88jHIaI4wisDce6oG5wJgLS3c+wdLfAXceOQ0h3bzIfQsYr
QRxdoVOd+7sfQeyj12jyop/68mK0iix6pkMSwzntqn0ZkvtSJSxSSzM1t3GMuKumKjKa8LYN5OAT
/Hs0zaLfNloz7VzNvrCcKV5jzASpmNnfapoKBF827vTEfE6BfSD6x/hm6It9lCUf5rQAfMa3Mx+y
ypcqMF+jpBHrzk0wYi0YgrxoIL6nBMFeQMLTdar0pmsmH0jZacbPM8Vesk0r7WQWzY0W9Be5W74M
8fixaNIfJ0xirTHpq7CyUK3L6RjNB0snYgBf42uMns8mSH3VEZW8kbZBnGY33ukiuQpaxHTJDGFQ
fCyGzp8SWh/pkD8WOm6+5SjmCQa71VCwN7cpTSP+JJIZJsSWF1nknPQ009feVCpc9IGWr2FJONk+
+bn4mEV+ZTsq+8Hywo2uwcDkxlyPiOLX8dSfFp2wVgvmLj+Fipw8NFNtCd5VAvPFb1GtHS92WIJh
BCwC7b5L14sVPomm1fhJJsE60lLWZ6k38pfDDlYQfbl45J5PamdHNBXquKk851MFHrIcLyu3EyvX
RQ4dGs4ZpNsJJjZzrCo4e3gyCETfh333anvjvKFLupszrd4sOVVj4HGBWAmcwZ6Orx+LpzIrj4mG
oc/pl+e+Jk6Yp87kM7CwC9OF5jdl99563gMH9Favsss0j5S/Vu5lUj6wjdtpsTP5Q6gf6lFeD251
61nlW8xFx8JMvzL17oKgsMAn6CLYBYvRsHppMAMMXAndGK4YqZBplaYHz5pdMJ+Fj3G03rVWPPpg
NM9p3F9TiWwL0T0OubEHIxj5Zi/4APbmtEl1Jry64dZrj+DcHR1R5DtYSdY2EUaoJI2dLeCOd/xA
IdRlZ0zFycp1uiOGz4Z9knd02ukhQ7i8mUsuQY6srUZg704bDeScnu3jWye1niftIjTEtW2godXa
Smkw9fywCIr5gdqZoIo6wDggD6YZXxOO/Kjp+Ia1wgXUHwcccNa4X3LBIwGSUDTDgliPeAy7nL4V
ZfiECurcFs63xZTfJlvfYv54LtOQHKXKxuAaH4K8etZLdy/N5m50xYVMMDuS7uvrWQSRbXxVlNbe
Ee9euhzDPr5hF8NavNPvClMd4pqFJh8Lyme1+W/ZrWJ8/nvZfRsP78h0v//NkkW98GflbZhflIRG
kJT3o07+VXizfrERTjBIZMPxI9Top6wCLjDrGBYpBqG2agfyq/CW8guFOsGuDNb/AAP/gxnjJ0fp
97rbgRjGhBGsjm0zfvsrzisSxYBzSOJUL+u6ci61DJphhhZSb3POQjNJz14vZIoBISAtCCnpsjVw
PTs8uKCpgXRm576sNUYik3awrEKeeurE9Sja4oJlYn5HPM547iezuizirvzWhd14FPmY3pnGCJG8
TPA/dZPzHojY3JemG2xJRlZpqhCDX8gYYverDZhEm7FamV62S4UxrpessN5gsBsfmoyXW9HacQ9+
sShB8BrZSnc9hvl2vZ5EIjjCEvxIkZNe53kf3AtGfLd9pWXRnZ5YadjuMseol8NSRQHacbZeksmE
U4SCv7DHXc9qmF0ZGeP09eX8CvdyuGkaw2XVXDYCTcICo/TKtqtkk1txnTxoyWIplULqOP4k7LpB
XS2xp1oD1CLsq5wPQ95tFoa/a2dhGw4v0e0q8gzVpkkfGs+6GNQSigBv9lG5Wk2BHmFLpdVqYzXH
hZTEtRHaPGMM8dblYt7SCQ3OXqjFV8kGrEsypi7E7S4nC4vawa3deLglFdbYzhxki/QjPpjjKfey
udB+7Df+PREUd+q/nwh3r99A2yKy+hsiuHrlzyMBPZWuxvoQNdgh4Bf/rRk3vlDXKgTNj6/wqp9n
AhQOSf/mqseUI0AFnf3cO7hfuN3YRUjksx6LB/ef7F2hevx17+Cw+VDvjoEAS9y/EopkMhSE6Uzj
mdpD556N2VENUbKpEiWlmTokJmnLgMwyh69jkl9ULbMpW3cdInfi2A/msF0HhWuABrc3msuzkM+F
49t6rF3o3fJqBWK5Apr/Ptp1C68Y2EOVBXey1+wTqeEgtwdZMzcb6iuk1ZskjB67aNyMegEk1nOP
eSeOFNAf6TQ/jhGxX2Z6rjOsL4bYezHecy9hSBvnhCEnmYFhbJbZGlkQ/Y5HEJhp2e+JYz6MtvaS
Dtr7OCjMK32eP42ocIjD+E4vDgFd1646nn/GlAU+8HTEwO7Zb3OEexYkgeFnDuSPAWz6up/Lxygv
b4Qdwl3GMurMJlPzvhs2YUMSySmMD3Ylb+vWxqAWvC/KcVdQSODNkk16RY2xXabkKa/lKhDBt6iw
7gcrYASdfMyhkpJk4sYFR45Lk1HyELYPpUYBOPfUcn0WZdupg2hSeww5G3u+yzG3rztnNPetqye+
zCLck0XvsPYwFz+PWZO3ATwU5pPt2uzCfRoh1aH/3PWEh93icxScnUihkpmkLiO2hrVVgqVuamWk
QaHmp9gMjovW3JbthIkAgfWun/AnoUteN7KLKSETa98H3pw+FqHmhCfRLvkTNAlW5BkbYn58w8Ig
g73SMMWsDCz3o8V3MUXDOeoIOyVdrHNO3We4UEMD9B1Yg6OBZci8fWwawdbC1XZ29HjyGRtjYxFz
sa3MsTzli4gfXExkDVz5PUOsl5TMSablFcR1MxFrrepZ68/uvVeMB5lDsm2CHsuGke0bw3jQeuag
PZKVzRQsxW4YCVzIzbxeOS263rZA9abzsyTZ+zRh/b3nE+BQ4zslhJNsui5m0u3cfqzuw3p4a1Hy
XjipGFCSRe+Vwdh+MWcdt6Bxpbkl43wd/0muWQZ4j67fN33Q7AW2w7varjPw4k5xnwocjpURR/5g
Vvel2627ziY0refyCGNrP9mkrvWBxnwckyiI/BlbnEf+h6TpyiGabKxYjBeIht3tHAf2sZv11ymo
/DoaH1FLErZa6DPJKVWyDk2P9dNkagdN88aXNBlHzJZ1sI7drthBeUm/pWzd9xkeudVSu8d0jKb9
sBDm13TeQhb6AuuCLqm5GaURXEaYS07uMF+13FRos1COIxzkycyHZgvJelp3omhPmkuz0Rop7lFr
Wjb/VqiUjERh/u/B8Gvxf1bvqqzi7vkLD0298td9pH+h/mObDWhTVaJUr7+Gw8YXm0ZecB1gmYFf
8Od9BOuAaTFJqD933b+uI/sLo2a07ZyBvEmFkvoHJap0lLT39xrV8oRl6NSoSgREK6i+/pvToe1n
yxpSV7tyrDzxMxIcVftfZDa2JOXdTp15ryk3NwqyG24hD74QTu8Ry/eovN+oSA+LcoMjGEl8XTnE
hfKK18o1HmMfp3Z9LLGTV3p9mqnO0Jm4l5VynJtYz4NKPoRY0XPlSQ+77Jaissa8J78hKvGZULd+
IPUbTznaRxc/Y5M0T/rkfEzM2bbJWN3lInlwDJXEly5Q0DRkdLlXP5t91a9jo1rnKTiZJKzw85ba
lhisHv1JsxtTjZOVkc2q7fMjwQsjU5qg5D7DZ6mtg8l8qbJBm29Y8brDFoz6yJS0bDtOpDrRK3S+
TIfXHiMuJDzetjIIERjaOd8Iji98a3IzWIROp2A1+2TuMJVBbSrJter15HvnUJPrpgf9wLVWsrvK
hgfRlg5RhqPnsz3G/zeXd85kMHnMxUuCc5bdGjZCPInkSJXDhR207bHWizdwCElDtDYjoQ2RlFzJ
dm6KmzoNU3brDjPUOb3XIxS9DqIAQnR0dV0/F2b5yKa1RAU1lZfc/rOvOd6mcJBwh9WhyMqr1mh3
Oe78zHOOkxU802ohM03lDNI52faFqR8MQhDx/rYzRtQJ8oCN6U3PKIB5P09u2MXHgdTODSgcQjWM
QFM0hvyMKeGeTFDE15UDkxwTsPlpB+6UMzj9NAk3n4ZhY3RPi5hv9JYRrG63TP+Uv7ip9DsFug+U
83ghJ6LGiqxhlqYEuLES5wCNY5cOBDsr7/KAiblz8/PkMSedBHkH2JzNnN88XU+UWD2Ii+TJwg/t
lNFu5GqDXkVwKY7pCed0hYO6wUnd4KiOO0JWlcWaBqDybWW7XvBfT8OIEVtZsie82bYyafMrTxjI
Ju8JO9Wh4b1pc2htWC0QYIXLe1pY8eL6Fg3KAmUD7/rsRDDhba4M4rOyikvNvIv78a3QWobq901v
GD7i2JsQj3nF/rKoliOEj0fdS0Zg7vAwcKUDgWKHjRYkbtOXXBnXNYc1qbKySzztkTK3G8rmXuN3
9wKj3Og5LZ+9ILmnNiCzUnCZla22LnHMs6Z6k5UOEUR56cPoPOKtr5vxMrKMx0yZ7nUxb2tlw49x
3Af48pO8IDKbrTfQ37dBWfflGFx6yswvcfVnGd/GimFUdv+xyQ8u/v9Bse0VEGBi94L03QL2/skL
wNE4k9WqKAIR9jmCqezwawJjoGDGxswI6oDW7kEqfG2hEYzesAHTsUuk+9JBK8h7cGUltzs6eb+D
Z9CE1fOsAAdClaCjaV+6sA9co4YBr3AITSOfY/gIY9uQGAEwoXTNGwlBwYGkIBRSYV6GkzUAWZig
LQQF23XAxvsIDgMLlKdEpJeh3j44xEuAbNRvO8gNospOESviVO+f0ty8axTiIYf1YObKLdGc4LXR
DACDCGemAAl8iEzUFzW8CD4kx1IBJCJIEm2gbweFlujhzeWiJpMHm+oAfaKEQkFA94XGynlVj9rB
hFOhw6vomvqQw68YCZ3wlvRyAgbZZctNN6QIAfP6xBj2Yqr4yLoUYDlMjAA2Rkp2jllbhw5mRmtW
RwQuB0NGjwNMDQu2BvOYDE1DsB0sTLWD+5ZC4TAUjmOByxEIWFVwOgoF7Gghd0RlesGQ92WC6EHA
Mrg4unWjrHU/gfphDvG2gAICiuYihgryb23yWZuYtLX/o1cus9e/o1WqV/2qSwzqEggXTMl0QaP8
e10ivqAocqUDhRwxpfrSn32y+lbm0hLfGA7f32Zn9MmSgbNCJlHRKKjTPyhMDFe5Ef+jMHFolFWn
LIWFmVj18b8XJqabJw1T6PnsdmFz7SRsCrnOnWfiCsVxHtP062yAYHO7QT+NM1XxsAzRmqXw8uh4
Y3cX6WW2I+E3vrBJ9N44WtdsCoCqcAH1qyyLvNOgKmhL1dJy6nj9wJBxTdUPv6Kspr3GynUS1BRt
FxExV8n0W8zjsUuKMYAGQbxtQ2/+kkdReCxrRfHRumQtVK3fum7FOnp+9ATAlUy+zkHuENBMh9AR
zXlRqK6hKYnlwWMVEECun1PVW/RxSt6STVRnROOBO1HJkWQHrS9Z1EYiSbD3G6N50xX5mpjfkPVc
9TWawgDuwcARXB2Tkjk8IMf0IBaP+GvK0uvQCJ/1dMY0IJutWRU3Fk/fJtY7bdfZ4UIebi+PUaQ7
m0xmF4ZWt4e4M721HuEgSbPC3Ax4rva2gWGGjVd6rHPAkEE53CwNyMgqI62j1whi1iwLGgNp1iL0
rhLJOnyY+elovRbdxii/1zTHxrltydacnbE61FF77EXywnCULg2ZM+o3O9kYIYdOWC+domZGGxYF
zTrTUn0b2MY+MTUMXE3ICUwkVpeC8lz66hXfaXKaOvNdS0udFpJ4ydwCYAiVFyhUeEeq+A2x73KV
TtNODNmjSOjiIM8QitIIWsHauC4FeIywxaDDOqDS9N0k8H2BPNgEFX+PbafkFQ1mSBw6K1SnyC9a
abxbVtlvW3u8G6KUrRj7IOXWMVd5rp+d0NsXebkbpHWZTN6pGvVdBAR4s2QhUsXAvp6DZLuE8Tlf
YiLdSHLy4G0BCJ5PFgvMKtUecAnAC5lMKr6er/TBSy6aN0lg9tqL3G9Yw3b4cR4IeMQ8TL47NlIC
6WGxzvlVnVqwL7Ek9t9Md2l8nAXUc0E5XXojOWMbB9XdpcEQFSDgzKKq8iCVOSjHLkO4GId/D+Mf
jSKN2/84jD8bxaZ4bb7/bZyhcmb8PJTZZxhStXwqbuSzufvVLLLQAAWLVllXXk2OxT8PZYuv0BF6
2DhtkkOM3w5l+YVJqDpGLZsO1P5n3SIW678cykwEaTptx6JV5A7Q1dd/6xa9ydIqgg6jKy1lP2up
QbvLAPBgq+H78DmH7+quQfEwa8zncUExnwzGuk0eYNJhdPyc5hdqsF/UVcgaGlLxcDN9zv77H4uA
cEIYIFZAXxOWBPWPlYG0CbGHIKx2CWwtGhYL3eeWwWU/TSHYBQkbOG4RFClLcp+XNFSM3hLhZ6lO
WJ2BImMlkiTaVlWG6wJ3yX6OYp5nq3ceC6Q1ALkwRD5W2M4mnA/VMvtmwdDK19q68FNZudcyHaqv
Mq+Tr5pVWXs86pCDjSELGJQZobsiej4+LS0uUqi9rIN9N7YD3ysFsFg999EI9oAqnPzKsYvhNscm
s2nIWTQhdhXDvtcCi3Fj7b4IBJQLnlOvXGgdentaOS5iFT8hh+mWRHskN0uXx/uscZZvudDAX4bm
3Bb+rNORkBjsWQkXoil7eGvuILudxdxSa9mla8NX2FWGgTAYjbWZkBlYbNjZsGZhZcIVijt2lMvi
7b0QDS1ZaU24c5gr37TNkLxIr2hvPKd14OPaBrNG3DD3+VhdebKtcNxp/DSvCy0c9E3YKidnGJR9
fYiE0aMUjUXyNcXWcz95+OHoU3sOzBH9QLbXZdE5K82tguRQ00pPx9yJzfHdHt3w3QMluYNHFsAb
i0oAOx7UnFZrkYtq4CZSN26fI2lUzblmrEa/0K3+Pbl+nFwwIv73ybWO38O/m3Dxwl+Hlv1Fd5kh
WULHVoYb/c8JF4cWhg3Fm7CwWXz63n9WkvILvnM1+/pz+PVz4yK+MC6TwEGJvCDV5R8eWn/jdDMl
9SqlLN4SKlS1kfnt0Ip56hEmdPIEXQThs5XW7En93rbSYx7z4cWDPiwOrgGofgIaXDEvd30ZrMOo
oAmHUf6aRoUvu5q88volcTLDuMaYTdZYMmAbXbVD4Z3zskMVIPssPtTdLO4RYmrWwWj1Rlt5ntad
80AGx3S29W4j0jQx7mIHL+0Fx1XWfvOK0B5Pjawa64bZ2G4gjPyd4gfPRhH3zIxMtycjXC0Yvc9d
Y1fP3cHMBGOhZYnSZRMoq95iOnhxnTrSL4Sy8jV1nUBjBha6iSZSJJu66Ta9PscXVjeTDB4sFQ0n
oYOvfYskjg1TgBuftmDx8Ur115GwXgGGvMDv+pbYtPJwOXIfpdV71eXv1NUGK5q8Nr+DtvRdHVpZ
HY6HYtGtbYfQg5SS0F4NQmdvNaa9QZLliHKd4cCToTGl9tIx+DYh99q3shCHSAuiS4Ltlbauca4w
zE3sjat6Z0IV8RF0dKs8LRDmu5gG0G4j7BuCE7/cam3j72rHNli7XX7h9h7JP0HjnJhtLofUZOkV
C4hQphftnLjOVw0iTBjKboKnDzObU6TryvXeyU/Xdu6w7DODzpz18G4ORqCEbZ6uwgC4NRl7zyZR
g+t0XIYV1+2uNDyoXt3kd1EzXqU0EkRlsoXwMhVmDgJkk2iVOOthmt5hmZS3hW0X74luNug74+IJ
VHeDka4msHFILv49tX6cWgyp//epdSxfa4LzOKP+OpnnpT/PLRxqHAcGM2lkIv/p0GWJbLk2YgOH
q8VkNP9nseV+kbwJgTIbatOPvvnnuYXj1zX++MPYQP8j1bb8JLP8RwPs6oraZLMnlgoP8heDGpl0
OeHAc3OeNbQY1UqQDwCas3CTg82tfY5N+4TwIrqyrQbdl23d1NjZqX/0WxmYt2mDDBdTLhK8CMzo
cBE5xnaQ/WWKglkbABMWxqVbGGtyiIEdmBNUD3mpE/++kn1+heRmG4TOZRtp23LWbtivPThz8YRs
2neDmmfFXSHTgMBTHFLQ+BFZJ7gV5AF99SMsTZ/0gZs5za56cLjwRq8mtc/17IlZ00I9YgAqDh8s
yI0ouJJN1oxvXtydAvw4XSNfZMgh2HXHIrC3nfQuBrO+CqLoyiux+SymH0bVFZ0jllewwJN4ckws
EeA8Pba4dIDnxEiuiPzcDD37xHZZIwX/6sXtdRT1p3Cc/QHzlQlXD6DpVSOwlXgfLYTWTQ5sD0Rq
f1w89zUgCzW2zackGVAzI7S1WkDkC46LZJ1Xy8qumru5ndtVMMXn0HL2qQMpN7EfrDbfL3N7m7vd
WyEmVpHFFfqXy8HO90TrHvNm3vc1YaphpTp4ggnoCAPvIEPz1okcyCjE1XZOgYEmG09p72grY2Yk
GKSvsjRvvcr2IyzZq6x3zr3WXYYiXy/hcGgIMIVNeZt408HQg0czn9muyI1dxMaqhvEYKJpoFOi1
r6Z/sZuRjj3WAG/nPliXsf3qDCxjqhrpamWx9Z0qxsGctvk4vRWW7aHTa7gEN+3sjdw5rdskezRG
0aErmyY5m8sygaUGvyl3Q4OgwDNYqwxqda122GXdo0hGwJiWXXUsyBD2W7XzNjJDngAJDkiZjYSU
AKAc3IgC9MWS3ApDoEsiJJqZ+D4p8CSQ+U6wrtqzF2JZfEPt3pOK0IpO7eN7tZmH0WytW5b1sTnX
azSzOJwlUQOL2ukT+YDPjzW/23T6JrVZiyRIAGKXjntJPkalDfA0ca8hFsDgsGaJe16wHpiICeo2
HTn+WSCgNIgX84Rr50ljgp6cGqVI4HvRJlRcwxK5QqxkCyVJEkrHUA1tB1QRbQOTW2CrlfkWQr1e
6UoBUbV1vya5/Qr7Iir/KfnuaayuB7PP/UFpKFLhvoeV91LM4oH4q3feP/67Um/9WSkwZMVEG/NQ
tbaKJIJiDFR1qFBzIt2QbnwekHK4+fhoTvNH7+jHBKkHeQdkOWgQahGBxAuMyjyrr7jzasTaXJpC
aUZKxCNFFSGF9dJ2I6KBJHpTUrcbxfOIFmvd1vl3rWToA1FYEVLDYpuk0yHQsl2iMzL3lgHzKh4G
6JLnWHfesC69TeZAbMGU87l1bCZdDKidKNuHLuWSqAEFV1ijail2QSmeOziwK44pv26tQxxiX+nt
+HkOYeh4mslUrkbmicgV1cub1jfrVqDjmgLGQEXw9H/ZO4/lyI1ti/7K+wEoYDJhpoXyhkXfJCeI
Nmx4JLz7+rfQutLtbpkbmmsohSiSRSDzmL3XttAJ+BN8/9ns0NtAIkUKY/qiZeYx1+VjxEJqrSck
ewLqXiYowYuFsZLNZODwfFnbauGBet7AKxqnk68Ur2VN+hM/nvU11wHQ9EG4wHZq/MDxsBry6gDy
1+Zn649AQq5jjieOIRWuAOswRDr4jx7VtH5sBxeEteZ5q1hDlt3p4zmN9IchbE+yiB6NySGiAR1+
QWg4QubBWtujdo4710CJlz7VkcBDxgptnTkluRZRlBbbemjCyNdUwNYJzA9Ogz46CCQj2A7FqtBd
DZMIrt6pIBWnaHK1HTsTcNNE3YkVwjHG7C5WffyvjPXX6DPkYP+jFjl3cfN/109xU/5ZH/U9McT7
hWksVC8PdTtKM/qU75QCFhpXKg8PWcI3r9hvfZT8hcGP4ZKMwkieNouv+q0eEb+4VC/AxZbMwG/d
1z+YyC9d0o/lCJEItHIC55TBqu2n0U9tokth+BRe4aYy5TzF4n/FB0Ok/OF7LORQ10KCB7uBZSn8
Ez6c7zu13FC6V2bTeAPY/EAD4m1HuLL11snHy2hhi107xdTseH7h9molG3ejdeWDSXqBovT37ItT
O17DuCWoLl2tuRXMI8uuLratkQ8tUDuEa7000Ag0g75RjGNL1FmE3ANGZdzL5GlXA3veDIZt7Hi/
uOnUkOwsm31e0du3CcpVEnlR73YK7VmshRmA11ol2q7IgVM+FPUcfc0ZJG2tX9GqLl7qDTLQBbnq
ZfzTxigFaoVI5Lr10H5jtHLfVnct5lEC3+btrBlypY3Ri1Uap2iMmP5jL1ilHg73vtqhiTgPrBJW
TqvddFH/LFPrsfKahxpgdlj0z7bMi5VrV2qVxuJc1WITiuoMmBymSZjCse/idTjapwEtLzXmYglQ
wLCYxencGbOajuxVX8skAdqeOeQdqOpak5S1554/d6P+KbLT6RSVlkOwPcnZbmbgaVakn3seEn+b
Ds+LMf4IgpbacZQ7MAvzqZrKUx9ouzFP9y3hVrs8k/U6tmY/nMtNNcSXnPZoE1gEHVDcsbmpD0Ed
30ekXbFykRjjtJQChxivsDEORTPWmzrKH1TdniJrcbxNuv156lPuwzocfDSi27HkUR2NeCMYBVJ4
FGReB4exrC6DwMZhkECPDwOnGFaPhLRT+SDFpFbWKCDaF3CUisCDaBAImrqpvVR2ryFyBJ+PNnKn
Mv1d2N0XCC0uGTN2frI8wi1xWsj4rizcnJWyiCVgbradjqEdPZr+HYrBz6kWHWYb+aPhPLV0nFkU
2CsXaFWQun5nGWdQZXd9ARcKNR15QJsG1G9uD+kehP7OHVpzXVl88LJw9o3efzAWrlYpQ1ww3hsD
1gvWGIx29XiUmX478z/tDZbh+B5ngTGq1D6ajfGOYeuAXvFsBdgfnecxeFPufITj7W4lVsvakU/V
bKDtGD/1VDNd6+IzAXIszek2DBIDb0SK9Tr1XuF7vVpollCRG2dPFLhpxJXkwikXkR/NuL3lXG2d
SHt0x+ZJpP1mDKHuyyi8FT36GdAOTPJ6ch5UeqAnA7fTG8+lFj26bv6klWo1F8N2qZVNZzxWnnYc
Rx2qRGIfGW/sMjvjanWataUMpBydaO/FkBz5/U4y0d+47fGXWhk6E8Xuw7TK5CYXY7oftdx8VYPr
vDSuirEjTVPwlLdBej8GTkPblBlwIIIaqlwbrStt4eNnGKwJfoWTZmr6euC1OPeljG86sTgws7oP
Gh8n2vKG4clXaEaXkrAK3E+zDZc6kvazRnWy6RubdoYFDBSRHqKF1/AwW8u6rMtOkwurPjTlfavj
y7WqoVqHfemuDCM5QU5/yMuUYIQBv2VfNmDaPPFi24Rl2P266rR57YxNcXTpbC5BiexnnLnpU1t9
EuT5Qr+bIl45REZCPuphmfI5Timm2/Cc5MZMaFNwB636Uzd6fgL0w01gPwaa/gDY7dWyyjcy5pif
J/s+ab869XDFhphsw4DYejh1r2bSbVHNv9Eyrjq3IVDNYN4SDAl4uqbAWo8+pgnkeppin0yETVKZ
X3K7Hek58MQX/WsPHkOKliyRuHtrcAuWNX/mdNiagfPBKJpn7IDYPxV+tTF5GLPpXHjDvq2QPWlD
8iHEzRYPvKLjeOmDfBfmhKrpmX3ftvMVTevrGMkblQjfFf2HYdmIDZC5HYJ+ekF3M+qAhQUqKDt9
w6tJnHhi70QiQYBktKqtGx/CBiNzRHqUn0j7Af4Rn2CGTCssnEfcWsfWImarifVXbgI6NgVFC6om
BWG7V0mIx7NCiaPXe5lbG44baA4jaR389nnknImJIcUuPBqtfPXKHveD8ks3vVpklaIdWTWwnla5
mX7UXG0th3jfkV+yqrrgo96mRz7rdTyPIPRM7yi66a4pdX5M0RwTXdvX0n4LUGr0dPii7R8CUmfQ
Bc5bBOYsS+PoVhfj10CH9TQh19BFglQDU7gns10VVI950cI8KNS+D/tq73r5dDZI70pMk+SQ+M0O
FGlnNAamqVpMprqxUkIMt0gco5VLBMwmdeuXgtCyraa7Vx3MBrP/qjo1BkGSbTTmW/gyn+MM4zjr
W+1lKG2eFzYwmwmSwsoScfZlRAy8Nq08wpw6mZchav5hAPtCfhZEr9tUIaj9jZ89O0YqjTzHRHiT
JERQPKfeJyF335WAiG2mUBX/g4/+w7f4aR498RTbKYLiG31JEKSDL69ksf/991jUEf+t1pZKavk1
7IXpSpiVXASp31dSptlhB/fi8KoP3PLOdW5B9j9q2vrvv82PIo1fv80CUhKskIkV/RlfHqpkspy0
D68d4q2KvrMhtkKrnjpxOxBbZDc0PvJXjPW//heLT/fvx5qXj4Ag/2SoyRf+PtQ0l2UMY0MmhuhV
Frbg700EexUT7o0kTBkTzPcbZOcXtsSgIVgQ69gjv7fEOb8YOt4Onefon4fQ/qGJWOgTCJslgh6S
cn/eHzfd0FW5PQ1XXd3WodhMifPPnkjJbBZFE6ulxebjSfFTCwE5ByWN03XXRiQc7M+afvVIYhF7
I+CRRNL6q/r9LwH45k/rJfcP33F5R75bLy2JOzGnVEfcQYffeFrIu1OjzBzJv2ruhlq5x76V5Y2d
ymDV2Fs7AWVVBWMgN23ecgeGhf02mp55sC3kfVNFPpjRKGtludFZKmherpn6Za1/6bX0qzdqL0vA
uSLnF7cIDpIkrCe/mMAZWThxNzUn6CoP45CYKXvXTFm8ldKxgAbGahdMY+HDjCBKqKYwY1VDzocZ
s5sgJbOL710GxWR6q5UT92etCvgrJfEqD9xFWNiuxQTt2R7uAlLpqAqsvVLGbR9xUbj2odCRLaO1
OSnPII5ae6rhLJEx+dbP1u3oRPvemZuNQdgj6qKdKN0jKqdxFdlqIF6mbnZBNF0UydcPTsuKn60+
O+0HpFX23q7gAhAqtK9Iamvv5lLwL7q8xrSdheLc0k7egCljJ99wSdHzVYgS3bPNUo2gqTMq48OY
smDzArKj0ptptj/gdIEwxb6YLBlQBWb8mTzzLxmUrc0gxWUsxTEgurVPy3MbDJuumw7ADm71ufKL
gHt2nM4Yms6dW6t1O+e6H8rh1PT6hwp5jxAoyfNifiIKOVwF+ZTexF1xW6TtjmSgm3ROj7oCuDGW
Np6MFpZZNeJjhrmJrR+6QJM4T6wR0Rlrerg18xIudTe0QIRMwHQwpc8ZgaXbBptyljMpHK4icu+b
rjZWBqtOYqjqrUFiT5DFt12hPQx9sY2QiK7IL924sYf4s/3iRKzQDDu5M8Nh43V5t4pGgzQwe00c
zl0LSWLVwHe2B7Eb6n6rs/dquZJzQ18rpR7mQtzmQUVm8YgYuc3S/n6conusrIcaJrZbui8AY/zR
kTUJRLAHkrj+WiC4x7m6AwjO4hKOt9AFLVL/rg/hqQBHUQmDZBjHI9+NLETLimn0B8Aj4W0U9xch
k30lczDUcpM5hd+NwalpFLUNWtO5XaK3brga1yYiWA6KuwkJOhp7hseWCLY4uJ5FjR6KNwTqGur8
QmbTPiWw+lBn+JuYLbIW1I5pMz+iZ8Arl7UMZNVD0sN6S7jROoxdfueaH70u+Zg47kVVWbIioif1
EQ1P0M4GvFBB7+6/nfX/XnqCGdDfXnrtx//zs4/1xz9ee8uX/n7tGb8wNDOQOUl2ejSbP1x7+GgE
AgDJ/t9c1FG/zc6WhR0aV2488Y1SyXLwt9mZzeyMSRs5NjwnxqJc+CezM+MPtElmc9gjsI9KkE8w
dH68JBwjNLKslupquqBZAPcs4Ptl5ryAMswxNA5DkG4zrBVFXiB7YtbymmO7oC3euqi2oUjcOChp
EqldZw2EG6sdoqccdc4WDwev1vOEqcP1SkAzDf20q7WbHuPHr0ld7cxGYPGDqMS5G0Oo1Kt6Tkp9
Q/oT4UWuZBpmjPrNzEuGUlz0uyiIEE5KDqVCb8kUNDzYaDWZxeG0NohCnQNFR61LBflnyNdaAH6a
BSJBbYDkbFhu62gkG73v9afeaEnOnjaD2TasYkS6mFWJC63lZ/I5I7/M+f9WHklQkNu+rRFgSRbJ
Zw876mYKiDbuctrLbGJsAuPikJWcDCxHN6pAo6krNKtSasOZJFEMNX1e+KJOntjz03pl8Fq4wq4Y
OsFyQLsbZmTxdvfIqA2wUFo9LSPNssKegjXjLEZI/nAmlvF/0a0LLStplFmXeYs9NK26S1mCqEkn
lW3nXsPaKI+yMAkS7+89GHNLpyuxEBl7x6oYO6Txl57dVljMN7OZ9+ymBJiepH7JWqwwnQJgFJfn
LnKTVamDOw7Jb9dmVqwqDegrFS1Y2SbWOjPtQ9Lad2kwgechzBjET7ipRO5uB019rkwCw1iRgW2H
XVlpO6Xn5zyPr5QlJ8uizc1Fc6p6npmga26r2G5XbspHozNw2Ajav4apTZN0u6qyLo6MWMJ6SvMr
OB+IMYo1OJldnWi36aiay4yAhr8eI5POte9ppS4MbZcAxX7EViMc3yQWkc3sHK8y0TYognWSWgCD
NWGD9IuAmz4pLqEI3qaqn7aZ5u5CRstr2erPokJhY1UOYTvJeqpae+3G4V3IYMkYlx3nyALO+1Lb
A8auvuEzbOxDWLHdZP99brvmGqum0u6UcrL5fRqzdO+wY/LS8hnIZgW0tD81y9au6BatdOu9qlS/
b2X9xS0n5DGImedwSz2GwWY4eq22rXXzpLLoJlbqOCbNTaGy275gFlQ1ELiyoBsOdiC/Ms/rqMQG
S+ziLnDQEhX9/GDa8yWsqGyMLB62mEnH1WDZfF+xYy+3G5Z6iLwASJbWbS1fm6VeyjvvqeCmziik
arOm+GolWyMLYM98280mq02WTJPs7jjsWESRzmlK6NoxsOWAgs1q2jPiUqa/DOwgt907hrO4xh/m
ckSXuVR90VL/mXXLi5IT4u6FBgXQUidaFIxAm8N9tdSQ5lJNqqWu1DqeHOKB0VguVWdO+Umm+Ysj
iq+KsjRf6lOg2c8zgilpAEAblxpWLtWsXgfOih33Jxd94xmN8oWYNY4JXb/NFY46IhCMK7jEd2t2
xo0+D+9do82r3B7vYcSWB6vo35j2bCuhv0yxc3Gzaus1ebTOqZiZ4jQCSGP4oUBSyFqWO9yd2MeR
x1bWt16cnXScavNSxsgquEkIC1iTOL9XRCYfEWg9uey9+c4QlTzxaOjS3EUoptdzZZSY1pJxU2nm
ZeQ1uHWUd09BuicAPsbd1sP/JGTNLBNjFSsLEIbTrvldGRKlxB17pDBHFckV7dSO8L+yDbLNr6H3
OS6d+6a17lM+E+4BQkLDIqN6cm8x3m910ik5wlKxYvtYY2kYUE71yS6qmBrFSUZn0WpfYv53rgvj
X0pA5jK8iTAeoaaM+5PQjGLDH3TaS3O8HwuMTXkZrQmox3TtFnvy5pgxM445jGQLBxriSaI22B6h
PHXesNkhfIfrFY6sFkMxbrWoejDjYGcTqoDowu5IJ2FK6IXN59SMyDBprB0yJ3SqVXUJG3ag6AUe
Ojmehd4keKSrXQcGSKblDQPL7FAaA0nP470+qQ2p2BMzH+ekKm+vGdrwGM1Ttx068z312H03DpJ9
cIGI5TEU/ltPfdNGib9XdOL6iyfV/Ukx9Z2gE/WTYDmHGQC5OeMCeujfZwjWL+jL2TNiQYacs2w/
/1NMCQYPRAlIHYW6S3z6Up39p5gSCK2WwovlodCX8sz5J8UU5I0fhltLbw8EmZB4FOiCBAUbwen3
HbfBHdalta1ux1qHW9WLAd6uIB5aDPuIvpYxOqgJGAP6lV9CP+lZDqvRJoaUcGtdvcR50FzYQfKI
WVb1kMDj2suxa26GNCi/lC1zYycjBifKHKx6vEyxX9JjWbQ+2njb1Hl7rZJEvGq63W6NAMaHD6AK
k0YRFDcpIg1w29E9t4+8hgabHzOMht2M+PSpdSf5mvUOhClTdpe2iRzUUwWaZqfT0q0hQV1YnU4D
ZzXmu5Jd9iL1rNiHEvkRho3mYw/yZBPpLkExtTfsnATOD1vA8m4gITLDeMk1E5brHqMmdk6NNMjP
xB5H4mSQBDiN+I/SbsfGqNPeRegl0Q0mwo7g9aAp6qsTQWF0QmOMHqLEY5gxdA0cAtheznDjQqBm
GxiKaBQwk1mcFLhhyoFBNHA+bFZawQ4Eter0KenNCiM0tmiPOcerPSwWKM2Rir2mXWw5R+Rx6lDn
tIOaPy4lM6UpuZFQpDGxxCGo6qDsw088SbGvF/P8MWii+d2Ox5daq7ZFGB81h2M6N0AFDhIHplYO
oYHDuJt2KfsTSGLtdE7ViBym9dJxNeaK3Vw8hPG2yVuLerMngArU2QfhxNkh84wnC+7ZvtSYyUb6
0K8k4iCI5Y394EZlfmg10rDwsNs3CGn1dW4qT+f8luoxaPQcqGPmfdKcQTtaGUL2csyviHW1dd32
6EM0rRk3Q1ZV7ZpYcTRfmiIEqQyKeyxhiKOA/72F4MTWs+ckTyO0xLOTiOTSwF18NQLYF8O8LE7S
Wb3O3aideHjRsTjAnxj+BC9kyQ1PRVKTraxGhjlkpN5GPZExBbaRbF0I0TfsDsib6NH6t3BYZbNm
ajRg0UDWBdgIqplN0ZLhvh0H626ya6JadWUb76Uq5221tNBe2dgrNCvyX3X9r9oQ8fc6VQXs5s/a
2u8lquYv2HYYZbKIIfJlaRu/O4kZ60Mxw4bDKYja9LeT2HJ/ccE5cNo6xtJvLj/Gb20tJk0HQyVK
eHSqwJH+UYgM6tYfTuJl9klaA5IQF92/5TrmT2sG6vysTPVEv7JOYbkqF4+ZtbjN6qTb9IIXT8+D
dK8F1JqJ4T0HLfG6AUBbShfnU5tnDw5rCloXc921rU7XFX/qNP3Q9NUZckLo1xDdV3HFJszu221q
GW+DM4a7xhyaU15Vh6rnPZjjq9VqB+KeLwiZVkbdMKMhk8vvJ7gnTuPui5gqgpPKIWmgHWzlK22+
RfgX+BTm96bVIg51NKwBBZpVjTFZqT1qER1O0CfNCu4SG077lCUvWTy9DSHysEQm901NHnRdNT4a
gFOuV9kmgWgzKWVe9FJcIxqNlW6g8Wf42xfdyW2CL6U3nGLTfjOh596JEW1aWAToEYAehqb2OtRy
w1TP+FhPgIGH1F3PTf0cm/qXEGDyCg9l5VNNPo2OBkwVWbwC2JOm7mXKwmhj8DsEenqJ5/Jjk6hm
2wdpvIHTkfuRWaHEkMEhGFE91CzWOX+uDOTfWL/SLDjmeXSrXStStJdswFY9XgO3CVn9yWtq0tnL
Yd53g6HjgfeeE9vbdoO8gHfa6a2LkNNN7lj6kQtRjGe3mc8DUofNEJQvcSQtnwshocdPn6uGKzVN
2xc5DycQVTV74fyrcuuLaVjhOUrDGy8S0bog43poutY3WnPfBIyDmyp8NLOaoCHqTgCT3nGwu3KD
i+pLEToPYTDtiG4YN7QVx0mZ30bQ76DxTjNXjo1Kk3+3LxQlquhdGhuT9W6UtLegmbOzN+aP9lkZ
KXg+Es9t3qc1SQ3R2umar7lR7ROn3tm4Uf22q0OiltOL0VWbUnVwTlMyuHqteTD6egf07lVMBk0V
BqfSlXCrYaa0SuF4K/K7LongJTTkfrZz5mPa3UyL3pddnuunc30pvawB5h5gEpmsnRmqUyoFAA4m
tSlGZZEOxyRqEz+qp5saOwND2VM7w0vQ3NiZPnehqj9ERbs4wjykPTapA/dmSSJDyA421+700qvu
odfjMTHGGGm1vkWOQmiIGXxNQxLhpaeTaAHmW6+co1OMz41df2pTSoRSqTv8rDstSu8MSnnEGdK3
kH2UI9Y0y+nhaOn11pXtjWFlgl8OXY+DdNkak71qR7GJAio1L3NmP+kbfCRxvm7Rc1v29HG0EbWM
45sb4L72pif+0GyNE+0wxdq5qKJdlGqHgkEFgcN+mGRrTwv2ST5tU5dAipH1xCTmo1W2H4yqRmeB
zsvMx22fc41ZMddpTDYi0WuoBpzdwOQ/L3P+IM8t8UPT2G2Zyvs9CIZYIxokLZz1lDfrKPZe8iRh
EFNH6DwIN0ITgCYtt5GOpjRTOMlBU39umJDrgCqm0UFJjnEaMe4FRNcBMmHJup7oCYj+/G0lO5Nu
3zX1567ur8norptEPOpxiJphItwtRW4lZLERKW+hjmCnIrVjC7fpQXbBe2Xjs/Z6ahG8eei8+70R
QobVKtYeVn4b6Aw3IrQeSSzdlUs6VCS6y+AUp1FDspqnxNqE7iuh9CvG+HvwLat60nee05Hl13/Q
zfIQ0PGBW3Q2aZJx/o2FtiptdW91XuvHc30Veki0SrJf9LFl3N8E9vwI0Rg1THsXmN2xrnoEJszi
R29az7O5te16Y2nGAepxv24I0uAUtraebE9UdVuX6tT3UIpUpf4pC1CLtGb3ZiFL9ymPrQPCgFtj
0UaH4Z0xu2fPnXp/nmFh2/Nw1O0U2BUojrQMgUNq8aKflx0hJOOtlWnbNJtuTc/9SrQFcoQSNTiF
T+1qUJsxdA5Ysqa2vG0d92mMu8jPJYL3MZceIWZm9pKSDbQOy/5r0nSo8PTnrCsYwalz5LHtQPBw
zywGNHr9VYYT2yGjvInGcVsl81NqmIiz+vSZE3jTFPKu1gK1CnXvVbPrD2M1noY8Ap/f5Y6PrdRv
Dfiy6JKjkX6BNYhol+GgmA5B5WGvJ/IUnAdZGOlzn5EptjZAz2+1uR18d3Q3mR4fAM8zQBzyeT2q
6IvA5bGeejWum9r46M3z1agRm1AuhOvQNLbQsBPU8NVXBw4INtP0gqqC45LV4DpS8QeVmLcqN+/Z
3oCPU4JI6uazxO/LVo6hyXRt7PEwm5xftQOwBG3e0zhpz+WoHrOYQcRQWOsyYybnsujtU8xkYnZZ
F+H/z7qku6vhtG8kUQR7sYBvbEa2gNQMKIi/GqD+ejf7owqCRtGxkVkh9UMgS7e41EjfN4o4cQ0x
4R69Gg/56kVu+9vKZ7bkex8f75sLwp+N8tt9fJa7YR3t1TY6SiwGl2j377Dh27BB8oH+9fLmlaXE
HwcNy9d8t7WhhETqTAY25aqkfPy9vIVBAv8M8xN8km9ph9+Vt4wZBBUvf1RGcj+WtxYOddAl6Kf5
j5hc/IOtDTvqH8rb5flxGWdQsNImmexvfho0sJdNisxMxiszAY5C0IBOUD+2Ji7SZKEGzsT/PBJE
ml3NNs8fmoUuqOkGR/wcGL7BDCuEPdKuKmHd4E7VCTXkUZ+chGknnWu70Aujqv/kLTxDtZAN04Vx
6IVh6VODOb7XBepRgEKsdTwuLXDEHgf0NQ8rQngWciI3QLHrYBlvwh6uYmMYTzlihH3GMU+6EkFM
4K1wOkJLhMo4LnxGeyE1ZguzEfXIGzOMYe/BvILXEz9VC+ExWliP7UJ91Ba7pcFHcI0N2MGj3np7
zvvlmDJpBXOPSLISRC5UH6IECwyaxDe8KFanDGQSmNhdfu4qWnKPylYaBn4VSMIkVvkyKo96J2CS
hfrGDPtjWmuIG91nPs2LUiQO6a2CfmJTXxVp9CZ7QY2A11IN6kMIfG7hhW+wpSBDCOOHVnA1cujb
K6tg3G2HQDdnVGqanb9bIczlsbCPNkv+VTsXAOBlkmxbTRLJFgwou+X8yh8agbZdPigtuBHMMNw5
3ltLyJsorS/B1NySFNGfUxf4V92CCa0G9wbmOWLVYL6Rij9pW45rqFq3aW59Mq36wzykn7WgJNc9
IiopG6+kO4NeLjHNGlCi0CuaB4Qy0s+Ae66H0LsiRCZ7O19Oe4rRMadKdSzy5ozotQznOyEE0Rzg
q7Rx1hBWpLhOYHn4NrF17tWa9MT6tByG08FpiS7DinNiLzfnfm3UBF7JmoLXke8a5ScmErEytImb
FK5C4CXyovfZsWeRuHJwEEHIMs5ACHFjLfEEgW4wRJZuvJtkiqAV4x9TevO+Bh7o927NJiFMWUNB
H4GqMOF7Yq8EfXqr69xMdjrzIcdNcNCmBhe1pIYbeMF9nScV2Nx9VhSsCmNxGF2MOou+/rGIAnx1
At2OKsikkcmwYu2br81g8GehF+zpg/dpMvcxDNxDKuVj3QaQE4rWRwHkO453Ixr2+shcKfaGjoDy
zD5obi2uTovIG9VO60P9RCVei4c+VcoPWnnWwdT4HtsBX9fksWagdjQmdSK52jhUKuav1BJKar00
RnDVhnDLXGbciiHetVUdc5nmNYobMDHhFK3dKvsUZXLrqpJXndekLMHcmHn+RvLvcVwAOKnmuGuu
SuMaLXicYAHlECYeHgtBCkTnBjd9pQGK9Wz6AQK/Mwi+YNRozwLyaSajYRPEluFYTTNhnwukR69a
sXEbJXZTGIDwWWA+ZVWcwgXvMy2gH4JcZoTThrYTCwZIVeWdrXn1doYQhNrkpdRy69ZMIL9y+hHj
EgvPJ577qJHPHi6oIRvmUOUk4dcGCpEX8RrfOZCJ5m+MIiZO8Ir+vT9/HdYzz/nr+/OBkcd7/ccb
VPBV392gglH7olZdQAkml+vvN6hBljBWSPKCGeWby+zmN92DR17VMo8nTfg/mr7vBkQOQ3Vdx3Fs
MFxy/tGAiDnQH27Q5e7GLiS4yynFfqrAepNUiUrzpisLhWara1mxadgMpVAkcRGf8GuOklms1Bi+
BEV5GYbuQYcZLN0URU+NaS6OdHkei7HCCmciBSBRnCWD7meT1WxNo/Vu0I+pPTzr8s4UKAls0Won
+H6SbDf14s3oiTSpfy7YICKOmu/yGE12MGBY0crlbQpRx7pZ7xeqX1JRnNSP1YAwygUW1cXEZRS5
eZdaWnboOUewg8iNXkdyrzkjicNW0BwMRvgu3uZC+nGZ3gvDfR/S6gEXHaBTPJG1bmuHhLiTY+hl
dP2tV171jhmQad57dL2rgHECas6BuCJMoMvWLhi8i84ODgskl1fY3+np/Jx35ZOXVCdySN8QVO2S
MueHnQfTx0J9FnJZejCTmUv3CxdTijE0rXzX7E+Tsxxv2VD5WtdCEwSd6uFtTdkyMOdWAKEghWvV
BeXJSxIvLGarDKD65/VmkNOnOTZvjLjmH/DuxlGY+dw0lXvbWK427YgjpEWL+H5ox3u/Qg/nGphz
SrXDr7FF6L0zySjplk62nt9nl92FdPpTMcrad2qHq6RB1VB0Tck+mjSB2h1K8DM0+4MpPpRwMTuN
3NNKlJt+NDGcTu+Bw4FollyWQbgQKr52TqjWTopNqBWz2hp6m7EqNm+DerIBNVT6Ht0GUVrzR7ci
09UgdQwwm7L9mltiRQDToSf+JEnUXafnUIlsShg3Y3VcbSUhjD6C/11n2JCKwg+YtjyKn+YU1m22
7jXyUVzCUFZug74zTkOqxGnW905W0F/kDUCukHlOXHnP0G2oDtAhVI19Cga3RuLQwGiW8UeAcqjg
e/XRGYnGaUYtXjdaMO+DlskRAbXppgwFYgCTm0w35pJ4qlCsCPx7cAKHZ4oV9J6rBaQ3BUG3lAbB
UiTES7kAq+9E53hnU0cUS0FRLKUFbohzbpt7Aizw/1N9jEXTwFkzSSWLjIO+lCj2UqzIpWxJqF8U
KRSk1aDpprKhk/uQUOmUVDyJIOfMCKm1pIGdnnEGBtkboKj6JlkKJpZL/dmjhrKopRIBdqkpo71F
lTUk3s1oFg/xUn7l1GEZplVqC0ozdynSypB1XhvYr42q0ClSyTGPeU+W2m4yg93cscJAzmeD5liG
I5SCaqkJrTDONlqZfigoF0mXQGdPAVnryVuxVJSAjYnnXKpMVveXjrIzofw0KEOxNegbfZQbmwI1
WCpVRDo+uQ8Gl7D2CnaFlZs6qzrPVoPD9RtR8LYzoL50qYH7pRpuvtXFBg8eWhVxNVOFWaNaIOv/
Xou/tpXcIn99LT6+Rx//bG8i+arvrkUolHSJ3HBcZD+ETy+JjCAvQQsxEeDR//1aZE0tJOp00BUu
gevS+u8G2/Jw2S7cNTbcC9vyn4VASIMNzHf2DBrLhethLN8LOTxS/Z8ayyJjXJHxY1x7L0qbdWJB
wZY6dINCO3ZZiEiaJAG5RDgFfXcYh8lYMZGxN0bvHVuZ2n5pWcY2TKZHV1NILBIex8KIMxqmfJN0
5efQHHlkWfOOaDds1WlrS/t/9s6juZHkTMN/ZUL3YpQ3Byli4el9k+xLBZpkl/e+fv0+STNDg+7V
CDxgIwQdJDXJApBVmZ97TfOtsvEyGdC4WJqliXq8PgAr662ZWajaNLfa8phA3kwMT/UXvaX8qDF7
lt2mXuVdyr4OkeTGrTXCm7m5GJT+HB8o87xAsAjgWmfPmFQjysucexI7gD68xqEt63BYJnwqu4+Q
4W6klRJa7jwUJr92Ezwo6GMQ81qwc3UatlQ+NGCBOiGIrGFdEbmpcuqqIQl7k/JviAqvLPQiJjlv
PwqL2RLtNd6FumWkiT4pNeFUpXXHMd60IR61PV61dUlMQxFxXcfY2JrC0DarWwNfqfAiM6op7LjD
VpJpiJoaSsYJu3z0MbUv8ci1G5r+5ZNtri1d52N16eCni2WmvW8U41nZRcOMBsINoLX7DA/ego4U
yij+AWzqM3TprryWcqojDWgRGSlzfV/Gz9dArWiGepNJea1boMGy27CLDxDquOtD7IAHfIF7YRDc
1M4iwDHYSJ3HXFgIKzrjj1DYCqcmy9LGtJg14TscBMiVRMKLWMWU2MacGNxdghwBDVocfXrMQvAw
ToSb8VhVN2Zb3dkmzou6ms0jL0D/zsMDAZ/Qb5mGCksi/JF72/RmFZbJGbc+frLjC1oUrBDGAxgO
WH7q6c1ZLvz7ZOHkR8J2r+f1LVKYD4mX6gtXUx5y4f4HkVmouah0wHEGhCzXLkzhFjgWFS7VPK7L
RpYDKMjCVjAQDoO5ru1LwnPQQwp2qtkZGwFDwgFBBD2qfmgCn+0g0TJXwiqaNSZG5ylWXpWM1wh7
P5/mwu0wwJbZ9F0Q75iI4jbHHnF7RMpb4ZPoKgX2HZBlu6Fdei2zDN/uTzXMFVVMFul/n5qRjVVD
sGjUfXCEbnfscM1Kry9z6BBTc7CI5+aN5SSnOGkSErRwmLmYO0ZodcvC7DGtby3h/pj1xM0szJ15
ZTnlNEPdb1KH6SKL8mPYWstKSq4r7CSjwjuqGU6sFIwmA7i2KsaTetMh6yW8KMu+P01idTyw5fjO
x7fSMIFsmHJn7dMZOFKd5CTA4zIWZpfggFWApBFCNcIK0/MxxcQZM9hv8MlU8csEGnYXK2TWNpO2
iYmnpm4ZN01ZnarCbNOPMmfWCwNOA6WJWSlMOQl3oGqbeunpFKGOOTJ/QJm3M90bBGxSOvmocyCJ
ztHD3zFmogVGkpTjB+qO5WORYhBK51jgfdUVIq3j1Bc2og7LOm1xFlVxGK07plWaMB1l+KrPorY0
VxGOpAay4ToOpYHvw5wQpqUx7qUyLqajqV25wmOmFAanRR1L8FCUC9QMQE/gm+hp6bkqbFGZIvw0
nWZZC7pukdruHCPo8xIkp4unautXdEGEySrclEDYrrpWch7jw9pbgXTg48waCItWue4PTDxbWw8z
eaDchrAmiadm2kXzWJi8jrJ/DGdZmuAo0M+kMv7pje4VgpcAHxUhPSbsYns/fChzemkZ4CRZWMpC
tCOVB1912HnSuKpxnrWEN95YjOcD8OS51KJeEzneZQ8vohG+tfjXOk7SoupbHsDrIo1WfG9aCLtb
jfHoNDahicA/uU3wxK09eU2+GaBri12uDR2KZOhaxUd3RPleIHDmeqsvSujftOIOA5x3w8qtVyMP
EQgUM5gYqCQMlnI/4tdreJzZvVAXwsm3UMpH2vrHNQ6/I06gVsDurIZmqmvKXQbzHm57NOkBAbsR
qTFuwbJXL/SWhwAqNyd3DuMIM0Ym8DFMbOsKMtLxqBuPUc1BGWhmNm9jQXenxqkhpSpaV076yjkt
HawEVb1jPkN7y47hQ1nCha9VJRpG5TnMEGZS2N0v5cFbEzvLeRb4zUTCW2Yu0/o9tW0AyICT1GVZ
lbdBpFwa+MxP0VG+Vqz6Dndtd1JyLkwqioYJUisKJ4iCD7H9Q3PtflnSO+Hz/ShDJBdSO3uo3JFU
NFTaWepr4wni+MbMzYszYh6Dfn7W5f5h7TB/q1vgErmUIbzTPLhCXli2igcNca8wdHC+kFyGlmjc
KVDKJzo9pYWTOS3qDbU+cUPElNhlxdS1jRMf2jz9pQBL4iBbZI23Ggykky3OSVT1cGNOL4ds9FGs
CL9HVn5vkDdrCF8sXRfydzhwD9z2UjFwDipaJr+jZO3ntVD9ScHrx6RGUACQRDUlpTqFIDDzhuRn
JEfZFFGh096CyVNJ3pGsBUxX6vynLaUeJAXnrhMqXFKRACdNTYQUoVLnkHtlOMvnJRr9nOaV4x7r
4Aj8QDckmqG4ScJmdoqTLI4zZtNlIHtoLYICGTGidAr/6L959HMeTVr5mzy6gVbz+Lm9ZPBXr3k0
+p2QoNkGYIaU54z4tb2kOHuwBhGqMZ68a94gQTVzD3wRup5Mb15Nz8FL1P4//6GhVkPLibkK9FRN
oTX19wY0H9tLKPM5Cu0eSD90VaCbvB/wIfMiF+hrNydjDB2FOe53QG2+wJdYE/rZs6GMEQtw8W3I
3OOAxsLMULpqWqbtWVJl+5bDWKcCvshYvaDeDg7xFT0eLDj1wEMuaV4/tPjrIqfUojAmQe1yO/U4
G4WkgWx606TKT9NevuFs/K5W+q1TeDBvfIe8R4zIHWlcxLokMSvwUdNC2sryJLKbPPwGseZ7PmTX
rY9USlbT+nBN81uJl2Dapze1I924KSIrsMOhwB23kX9UZ8H3KrMT1G+ts1Iz7mNQAPOELwZLDalK
aPcHjZLdJYM8IOyr4c1eY15axB1c/e56UPNy7tXdQtfhyakhzVza1jH+NPZD4SO/ZcfmUVXHV106
RlMbqxIjsi+ywHmgiD0LjB7fKlzhwX+G9dztgIPmLaLy6T0Niju3UE+Z7t+DOgN5FZXevEk7Tmsr
OfNyDMX8aqKH3vdYRQ0jj+181pkAbbo8u+8UB0tYRmnJAAkyV7VxNuCLsWCzl1OgxEcMMg4K3T1K
PfC1RKTFAFtULjtaac7KQyQDR46fgR4+Wkl5paErg2bcbeKNaHoJzCo3yZFLg/wbFI4qhwVkq8I8
J/k99p3+Zxw62Qx1CwgzrjxtSsBeKHrd6J5xode4GNlBdKV76s9GNVugKOLPjaZZoKx8m4DkqDLm
+HCqF02N5AeFUkixFd9Byo0Wat6cqL4h0xGiP1MotTGRka43x2ghWzlDEVteFrUPMCBCAqTJuWsw
ALqpapgIrJFBFSixmDgoLd0qPwzcpDgYk8iblSHCf2CxLqyYsXVqLJpCL5iwuzZXogoiOWHyPlYh
w3aeOANM6tQeeYiHinuYqLk378rxEvki3jW1Aba1C1duLkdbOwg6uBuWSlVVFS5ggRiOQttE96B0
bm2ssOik5T9kJSshkrnTsqN12cnBChQXPiuSv5JTKZxJFqxPWc6WJugSRcY7FAkkZ4XJ4MDown5M
wuIIt+UWybswn5dOvW96wzBTmzade0l/nRUGzFuILzyNycTU6h8VheRULhXAMSMkmASw0KGeRqRl
aDh4+7Hq+Nosirob1Y7Kdl5KlR98YxncmrmsBbnVDAxtYbqJnF5ZTYxrlV7no4bDT1z5U6TBrTOC
ZGCeDQUqGFrRe3cByLIq5hGaCL3Xk7wClQVtjKQJSCMgAd8iC/MLWQgCGf05Ck0H8IsCTO2sVjOY
3MRgMWwMi/YbS0bepwiQrpii8BUn9C81yH8xJCWzLxD11dTbqKP4OY7TvOGciX1l1pvWvezhH0Rt
OpTJOOnczEFxMdKNYh4EquVdybUVV3eq23oYXGujikaNnJjud/SHfP1YVoF7UYf3Tf5f6sQzXFfA
D34XLrO4SdJNAZO/+zNgOsKeTUEzlqGH/STU9howkZtFiAO/FUtlwPKWOgFgF5CBhuiZ+tR2ElOc
14CJjTGzGoImg5onEsXfCZimAFu8aTw9AXYZ7cBoVeFiiOnP+4CptAaPRZYkp6PhH+AOAxYyo8xn
L41pmOHogzV56MbHeh5HC0PDRqhRlkFen/oN+Ds4eeggnqfoUTWactBV+Tpq9Du3giqa1sf9qBx5
jr4afbMksGTD1Le8OxQIzjHwjuZmkqyBJJtT3R8orWKezJF9wKwGIlUcESTspE5vMs0/bOjJHqWA
2mxfIDIF1n4E21o60Q8Tn23NVajOsS5jLjzJnfC2U1pzkqUk8wYymmoDtT5CevS0MbMHM8vCiUH7
AdlNy5wGbaTs44R+VNfWvuYmV9rQPwIePK50R4DQrugFZCg9eUvAB4emwTmRteapkVkHcY2emOMb
1xpCKngIfO98c1G1HKQlpimTzrHPdKeEkQ8ht4tOwo7+taS40walHpzLqUqVUrphRkz7iQ6+bIRH
TCR63JQHxMMiYr8RY8MUjQoaSk6ykELne08MNdrmSG/s7CQvzqG7LhJAvVRhp5YBCFfracWBuAvR
adDAe2kKbN1Yum1194ZScmE2DZkIvXj67cmPYGiuc0nGiWVE1Evpw5OhZelwxTuXexfEWGQm3wp9
3xwqu0bvCBsVGlvtiScjBwyaF1MVs5sOTXvpD+Gc/41pLLDEWV2k3xo+hosrzTQKpH4CkmRpBDJr
YyvTTB6gn3IfwlDihJPteJYNNg7zg3YR2Nlh17kPekFUDEzzSs/MC4nW7RQD1SMnIcFpDAslsZwG
C1X5hQSK2YBDiTYGqOm+CK9sN7235WCWugmMseghTMtvnkMGxsCUoTVfapW7SociJ1GSktybUmkv
NB1qXmCBAc+CCPJ/A/1C6PNGoGrbVaRq8Txt+oEWQfNoG0Y+003g2gTv2yxL5g4YWGGD5pNiVcGU
VgZyAr2C0kBV9sBxQdSNPUADU3HyY9hzqKlFF27e2FNdDmkFBcDMoULaqFXQNY1L1JMQZ6AnEwFG
rW4D0zpC4+QibbNgagXIrkvKOC6TNARx55bdwhlSnkxN/Z6nxaXdcuONzpsNxngiN+6D20rKTGsN
tILti6ZzV51GR1Zx3X2LjI+xJXW0bdqLntHntKQHOVG9COhFRxYWFgjzSuOwhideTZFU8GCa89e1
VB7UrTSTIxrRgwUXPIZijAjREu3YZD5EFyitKYB8URQc11I0rOvWvPL69iqKYR/29lmkQhTtvFEH
34lSlBZI3yDrpNAfrbk/1gt/aM0D4JlkgiJfAuDu4eoxrLmvwwGDOhQbQZhgPaLNVEl/VPvqOJal
Y3BJ6Rz13nTOFG0N73g15LUxpRc+cLuYNkF0sSZDCd1aLbrLxOoyJnC1snTxKRLuOHyeNk5nXcMT
yL//VGNSpcGI3Umkiz51LF0UjfxYJTwSupkEB5llXedlcVLFUFzx8HzMc8x+MJqswt6cSGqsz0mA
wb8qdD7lsTxyFeQlAXVAWx3twyLlS9MwhBBep3c63ruLDKzVzAts/DVblOYRmVq5WFyuMmVYFybK
LQ5Hox4FiwJBu6lPhB9r/7SKNZzP0faZDYF2iV10B2szOysqeYl71lU+clZmyqXiFXQCRyZxcmat
QZdhXu4fqHy5WRfI5sSQm2s8AZUpnujFPA5B/JQGD3VUuXetOd6VdXHhV7q38mKJQarSCJ3sCBWx
5jK38f4sI+6vJjH41cpu2llornlJ+QNCEkcFesu+c8pBt/QKH1axXl0hMfwtUuubskBdOY6aG91h
YKqonTKTZdU/JHsFTW77xnTwyQEzD1IWGtH7ZRVepqa2HHMUx91IueuiXgZRHjKkdcKp7QDw1nKT
xE791prnXXUwurddcKj72nlK8g6X8FtIozVAmtJU0nqJVeOJmmORlMdKtZJD81HhoJ8rvXPWBiZb
WwdmLhlDTOY7BvPYok0e6Posc7qjKo8vWrqYVh9z/AJ6GgflEjbVoZ/RTgm85gagUTiRi/qgqE9a
k1ahgUCOB6gZGZ1gFmdOsFSLEjBcGdwow7hEISI8SiWOf7yfj53Bkhbw86OFVvfhZFQ0jbGpzd1y
k3mXewdYbkjTyrSxHlMyzykwrGYITP/x0Q4S/7hLa7BrEMoN6ybMkm6JYbOgJxfjcKL4cjD1K+4z
o2pz5dnMpwN3mnF+HbhA/04VrcxO5ZEupFvV+j6+gycg8m173egDw5Ee/Qo/t4s5wSOE5OctEkM5
VnNjn9PowKTgjmwddnqNHKFU6tq3wMo5IdrCm+iVtPIL/UTXK2+V+vIjuLVH+Ok/CDkoJvj9apCl
WWKj84bjl1bzGXHZymZRH9/3QZQynfIBFISAxV36xKln3vp90i4HpQ7nHT2vAu0kWMgjSHZJEEXM
Q4/Fzn/U8oGiuxeRa60koHfoulBc5z04hyZRplEsX7P8RHElfoT5fdCqnrXI0UYvK3MZ2ozGDQh3
C8p9SqlSFq7hYO2VortN6x71yPjSQM3PjI1r7GepJELsvMYI/Jm5KAM0A9gnCDr0C6XO8RnV7zlc
z2pcuKbYhzNzMosLbGkXHHDKstMZejsKYgM+iEVrhLZi1lAXwuSUliY6FK6PZrcTDfOyr3keOmpj
3xx9xlc4hfYod+cmjuNBpq5HTLXRXoAoig0KmBbzhCT3tizzo96KrWmWSHMFpJfR2XeElkXbgekr
2kN27spS0SaicyFmXqgvBfFxpxBqI+UocOtDN85u6BbeIltCjEitm0rtjzOqH3T9YY6GEo4FjuF9
ox2RYjga74/BQamXx73nLfJOZWAT2Oe+kROjJfO6ydvjsceRPQ1+xLqB4CPitJU2HLW93ayGcmDk
1JvHiWKnUzPhIJSgvhgBckGGvooy9aiTx8Om1DTAhVDQTPSdwi5JzjRIEdgK2xJgy1KdtT6yqVgC
CFEPFUZTkg7TvLIAzI3lqmIQBlQn/GF15DB235xZOex2p2yzpedU1VFSoLNVaB08MEArgDrwxkPR
1km6kJzTrdlcRsyE9cqspQPYxsnS9LN9h2wLm6lcC/GmwuI+mPy3e/ncvWQy/+ty7BvOHs0mVSCD
P/uzGrOpnlQV9LasoLH7Fgbw1L4U4ogGXmvPOnmv6Dh9Dx9j8JioBT2xJN/AALQ9grlKCacJTTxR
Pv0NfPn7WgwQgGPRVRVloqVAqxKwvrfshF7GJ6ssU5qXok/Hlkc/YRLQ4XuzLhvkJhX5E9rAYXph
6zpKkDKYel18kDcKdUpct4UZ6jmZoeFcR37B2Dmx4mFcAVAAhKXVaaPvoy06XiIkgaWZqWB6YVO7
5VloH5Te4BwqluBLW6XRn/kk7dqQUSWZg2dVh20UVtr3lr6afda5RdsuQgXQUou1K9BfKT7tsK9W
5kGeZ+o86+KmnaJwi2EbiOCUgcvgzAVxVJ5V6b0R692JRfV5qjdyHk+VHBrPInN7bRq3TG1i9LiZ
FHWZdiq3ihEdtXF4WtZRB6ELrLrvnEEZeDSq/CElKEHNvrKACqWdtjQkE0CazLeQ8gAyjLtwkrnR
J/vugEOEFiUArkplFg/FT9/2L5CYO1HU/GejtZcx0KY5h3J4Z0Wwzh1Ueo4lKy/RojHMgzjA1xHn
hDmEp4p0VdJ+6mGVrnQXqf+0LvI5qtOYlsWSASXePoYxdlKlSPgwQWKWQ+68rFPrelCk21iFGZuF
PhzFuvZUCxU9nM48RF/nQC+Dua2LS6ATokRmeV3qtdbPTDv1LyqvleYNxo1zp5fxKIKmyiqqoJyq
CEMEXSqHWWiMFwVGSQe+hFHK758xlU32pq/w9CyjFCGDaaDxL4YF7x+xYigLzwNTfUIAWjOaUy5R
8ZvA7IJfk65cdKRn3hxZhTkmrBPjQF9oc5RsptH/8awbQt7xne6pZmEby0TCELMH4tn7z2H0SM9h
jJGdkNofDDFOTJFXuNQ1ZCO2FTnzonWF2p9JfxEX8mPPKt0DhXtkRkUCM2M4cXDSmtjq+L3uM2dR
qchS1XW+cO3xu2VgQB+6EhTmsb8p4tyiqV8MU6tCoonZpkr1w7TZ8Pv5oDnLToH07GJjodsujp7O
atRAqqjqUtcN7FgwZ6aXD2E2SVdhT06p6ZSFcj7vOu9IdRFCiPA4mcHWwEo0RDmrLU465q3LwhOU
RM279sC9KlpyTGklU3HmSzniQbOcQl9gMn/5+1v8/hARUq/g62WkNXWH/pHmfDhEnFHtnDxxyxO5
TcIlBwEyZiWxXQr8uZEF+kQvvPXv3/KJPv7ubn54zw93U+pRymgjrzopPO0OR68pUj9M1ytrpScN
0nsugF2TboqFCqER465i6OlwNJYN3FHJOMoC+1YOKpDDlfST1inpXHGsZua57I73hld8T7qgmBU4
Uf7XeeulRcod+HVMvmt+cIcJzLiy7z/88x9//c1rQEZZBggdcgXoBTyr6r2Fq/Ncyfht0QllPMgU
8jUgO0Rx2GFMFFV+Bf2Zv9qjNhZesMAcfiRsU/8eLg87jXfHB8cYhxdKgGJ66Rgo4Hx44OK6rGWE
keTTGug4eBZjaYL8PlSlhmzWVnKck9lzUGdBrUZutcjQVZrWQNLLzEghPoKlgS5hHJUCuQ6FAwx7
Zy5bQO2x3efH5ShN8xacWW3fK2h9ztSkw/wGDarR7PYd115QJ8kzdCiXTcVIPXUElqnTr7u0XOmB
n15xymLLlOf3GGOi7pVfl4ouYNMaodYr7uPBiWZZpQPE6bpVn/c9Wu+Zn57Lmr1UQl0/kzSQx2bn
zOtOdqdJJ7kzCUsIwF0ULW69thrv3k1s9NaHFBNP/A337dRJJkUmXaBSFZ85NSKjiYnUXqwxWHMH
y5q5uGRNgayg4uIOdGZ14N+O9lAFJil+cWLXASWJH90GqnZVZ04+k0L1MY/ApLmjd10y+AmgqTQm
JyvstRW81wdmr+kk9P1V5PTnqYwWCvrzSeodhqNzpeD2hKkAugWlKl/lFsXgyE2ofRDhseviQ1hj
XNhUPSzp6hYVG87LHEJqwWyt0+UzYCLKzHeD88BB01NKOrs7GAa033HF+SmXUNPM9AQC2GE7ZN6+
FlYXjemANzFoZ45lUk0tEyAy+DeQQvHMGtG5QEm2KbhhqlVOHNxlo5UNSHgepJV96qj5sIxR8Z1Q
Le8jY+sglVU+qgWEA2e0vHOpiWhwB8a9g3v0STGoP2MsnUE+mHhZI+7lnFAkehg5ljAXIpweaoM2
Ycq86MDD7AycPvOx2D5FCxBQmkm33Buyn2C46BgojIVL9QQZF+RSkQLEf5E4ozTIKiqGtAz7lhCk
NN/N3P8WRegPlg04OdVnIqCiuljhoQvOCqQhog7frAB5DTf7kVD8NIoGFSOVzhU7/0lLf974gPjQ
sZ2mZCdTuS61fTMu9nMzOehrY6572umgRKcMT4U/oiOcRcIbuXOvjUSqViA+sqkvWddl7Rl8bPXI
zcmnJJv2NXgmYY8kXyRDfSDDtiqi8CIIvLnZxHedXP7AxD1DRhZvsKFqT+wyamZoBIpwmh5DJZEJ
DNIBUEl9acpCZ9IZohmiEUdyodwT67VZVQ83uaYiHaXki7wSTf96LGZD3+5H7iijaiGfdHH3wxec
CFOwI1IzKEAJ5LcatBUHAoUJkSIUjAobakUt41hRghOQBOsCj+4MF/LmsBeMjEFwM9LBeKiFgEah
Yn0OfaNwSxX6CIwOuqRLXC2/21A9YIFeK1A/FKk65/OB+NGNiQM5pBQsET7wzBvbbuZAILEFk6QZ
5YvK0b4PgmOCVFOM2DO8E5qx0j49oHKWQkppIafoCED5kFVswVrJEx2xCF1wWVzBahkFvyWhLi5d
ximh4L4kkGBCmWaCDX2IcXaF23sGVyYRrJnBhj9DvwTArUDhC24N8qHgvbz+PFRldF0M+d4WTJyn
8PL/QBX35SPO1vV6/hTvzpvHcrh4rBgfV681ofjpWRak9VX2n/3S7y/0Emmvhvzxn/9YPyRBOguq
ugzua2Lnxygsk6+9i9xPH+zpU//2OvGaaN488A5MKcnvHUfDafzpRe4dZ2htPf9YUlQV83IdoSKF
n/Beb9boV6vw+y/4vJy//53ffviPi6B+TF/+k0VQKdth3JHciBez34+LQF9Al6nqd2ER3j4IBkit
/+Ah4Av+9QxYe4JUgbyf8/z1qfPefX3aKky/aWhA6X967cIibNoO3LettwOTfpVGEUA38eJd3i2F
mPfb8EU4D3d0EUTHactFAO5Ag41VeLndn84EZY8Zq0IrbVcX4eWwehYV+fPE/lsHo7nHg6AJqv7z
k/BxU/AkgLmgPBGVy04ejKLQ2e5JEOQpBVUOvAufX58ORraD0KSjtNvVRfhIO/vb0YFFEHWtTov4
42Gg79E1BS5LcNjpc/E5am2zG8AFw0cnAgoTIl4bjgQ0CSmuhYXkDu4G8bG33Q2atcdQgZtN4+Lp
xTP/PjioeypphCW0a3dwDYTsztZrIFBtODGQDfziRFDREgZQxsG4o4sgQO3bHYsA3lVbBeMjbFjF
a0NsMJFbYDfsamyQP87h/vaxCHtWFYkQYlzPi/ApVRLa0TYsSTGa2sntIDqFWz4JzCIdrG0Jks9H
wsdzkdSZ2YWFSsaubgfx8G69COjZMoUUW/79gUjoBHTnaGh3vOyTnXwQjK0zJXYD1ZEBn+ZXhYOy
ZwBLsSGv7+pu2HoRdGXPEqNCVXQUxOtTgNQ5M3SNALmrEVJ4Km65GzAZMqiOqB2eF4EQ8H5TIMQv
IwKn7GwJKbAGWy6CvYdRn4lE3csafFoETgbB8gKct9Mng7Z9nKRIIAwy0GIyJV4fayjoeOD2Zaai
O3owvGzWbcoHaw8BR8cEfPz8PHwMkxTTQtXKgmPxtEa7WUSQ6GyfO8KjhC9CpHhprnzcGSJjsGF1
28qupk2fBEL/fu5I2mRZILFEA/vj4cgPLIa0u/oIfDJ0/fvf3uJhF8Po1wjxKUxSRyLtxvrs6iIo
24dJY09Dc0eI5jzt+E81FPtATCboRD5Ho90bPMjPB/Y25yJtFST0FOdza4mxC9gDiwbkjkYFZfu6
gVYBSkkGnPHnR+BTZDT2sH7kqKS4EK9d3Q0vT+h2D4JqQgjU5Jdi+uNSCIwN/QaB09rV5+H5Qd1m
EcicZZUNQWR4fn0IDorNpnBMtOuew/DuHQnK9umiuceJRxdR/0X5IIZx/IxG666eiwKsvWX5QJ2I
t6om/2oqzSLQVVBk8yUh28EnYfvRPAGQo9GCVfx8PG5osKG6oWATtKtngsB+bvck0FLQnScpEIjS
4sVXfZ8wynsGIGWdRGFXD8btq2l9D5NKVQMJ/rwIH8snDkYVsjl583P3aVcDpbZ1i4kZDDJvAE0R
WXx+fXwehMWADP/iJU/fwZNh+7QRAR8L6KwBsPbp9fF5ALSDKAFDWTGnYwPu3iKo27fen6ooxvMI
Mjy9eOjfnQzECGSyLYg46AmJ164uxfaJtGg+8wUt6yWR/rgUKhQnUP4aOOxdXYTtcwbOQMYsf7aY
PjWfRc6AOCsN+l19EoRs7XbhkjEEDVWNGfVzH+1Ts5FGGz/Ey1WohvDa1Ugh1FK2XAqTHtMzqe/p
m35eClBMDKohH+xqia0+n97blFQ4+4ouO5a/T0fgJ9wGzWd8w2VIQDv7JGwfLrHOpLvOMrzgGzcV
10K5TlafF2lXzwdt+6BJTIRsw1zmpftMPHgXNDkfQDUgvaftavf5BU2wxaYQY0pNMHRfcTzc7/eL
oMJNovMEvm9Hw6VQMd/yeNQQgZQxm31pv37uvzKzEeQsnL13dRG27zjZyF0C4ADH87zzP20HUX6K
/9Cp3uVw+TIo2GJTUFiJApJew69GdMoeRZdCC3JXT4aXI2ubRXgCr6GwJSLvuyOBOKlgO8AU96UE
39U9sX2zgeKS0lIX5j5Prw3RUnXoTzrObqeQ+vbRUhe9BFFG/3pWazpwo9BgeD4/dvSp0Lc/KYHD
W5hSyUKwULw+bhBaDgDAaM3s7IBCfw7mWxwPIMHB8XEMID3y9NrQkeWMkG1Si119ErbvwIk6m1xa
yKU8vT41G3gSkF8Bbbyzi7B9XYWCpy4znTV/1ZsXnHjRk8WtdDc7cMJZZ7sUku3AZNakNf2L45Ez
Ac4AODflOZTsaokphE22XgoEUizi5svx+CmRVKmrmPQDl97V5+ErYgQYN3Gvf80jxJubJPJFlHf3
2tKf1IL/E3CPYwsdXsZWm49HeY/+nKKgZ/nvPwn/xkr9SVCe+kH88ERNxolmE4P5V7/wysn9/PM3
xOMnvum73xRU5ec3f2bmiv//r/fM5acBxJufvg4knt7p5e9fvuLnN3/3Zq/f6/UfV8FjuS7vESJ4
Imy/fNCTdQK3+X9i/uth/ZYtK8RLRCfs9d8206z/PAt+f3WMNx5fL/SXMoogFfz1VT9zuP+9iyfr
h6x8vdCbi3N6bH3xibAgfb3Om2tzAGx97ek6Xrfckur1Wm+uz/O+/fXR664+3VIKEVrnX3DxtC7X
f0yzqt70FtS9W7/F7DH+4yQrN64/6dLW15/Hf8yykofn9Vpv1p+YtPX1FyXuVpsuTpqz9cWX8WOa
vl7nzQf/iu26apIfWfxQf7688hUbdj/JH8tgHW+4/Fds2f102LDoylfs2MPHcsOaCzTF1vfzMEi9
DQeBAEltfe2jdbThDBOY6S+4dFU9blqTr9igR1n1x/+k3mP8uGllvmKLHq8fOIBf1+GvbSQ48Vuv
zfG6DDYtzVdsUXFtZJk3fHSBFtj+oz+mD9l9sOn0EqTlL7h+ef/48Hqhv9Zd0Ce2v3jGZ3+9zptr
f8U2Pc42rslX7FIujdv547Dhk3/FTj1Z55uelq/YpyeP7fpz7mjgLvv6XbbIHU/LNUfA64Xe3M6v
2KJn8fr+cUPuKLjIWz+HZyhJb0ruxGhy64tfBKSOVfCwYWXEwGvr61+u70tKgrTeEEu1r9ill+v0
j8kjnkmb3uArturzG5TpunzYeJAJutoXLFP6xyx49DZ9ia/YteJLLNgB90F1v+k9vmL7ivc4yNZF
sylaaV+xh8U7HDVB9cfpj6DKN32Pr9jM4l2O1/Xjput/xX7m+vX6j8m6/LHelDOIGcpXPE+8xxRj
wg2HtZhcftU7lM34erG/zlQx+9j+Dfz1xppQzBS2vzg9jI1L8yWbOaiiYMia18/5ZmG+ZC9n8XpT
9iB6/9svDInJJlN4IWOy/cXrdRpU8bqpXi/2Zmm+ZOuKNsuGOCwEurb+9FeP/nrT0oiu/vYXJ8dH
7ff1Sn+ti2iUb3/131mUPnXxtsisrprfGrpte/nfGxRse/W7LN5wzgu67daL/hsV599/6k1t2T8B
5Z+bta/qjpv+7H0vWvzGffy4Lv/1vwAAAP//</cx:binary>
              </cx:geoCache>
            </cx:geography>
          </cx:layoutPr>
          <cx:valueColors>
            <cx:minColor>
              <a:schemeClr val="accent1">
                <a:lumMod val="40000"/>
                <a:lumOff val="60000"/>
              </a:schemeClr>
            </cx:min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image" Target="../media/image3.emf"/><Relationship Id="rId7" Type="http://schemas.microsoft.com/office/2014/relationships/chartEx" Target="../charts/chartEx3.xml"/><Relationship Id="rId2" Type="http://schemas.openxmlformats.org/officeDocument/2006/relationships/chart" Target="../charts/chart3.xml"/><Relationship Id="rId1" Type="http://schemas.openxmlformats.org/officeDocument/2006/relationships/image" Target="../media/image2.png"/><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17</xdr:col>
      <xdr:colOff>502852</xdr:colOff>
      <xdr:row>111</xdr:row>
      <xdr:rowOff>160122</xdr:rowOff>
    </xdr:from>
    <xdr:to>
      <xdr:col>25</xdr:col>
      <xdr:colOff>200798</xdr:colOff>
      <xdr:row>127</xdr:row>
      <xdr:rowOff>20078</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BC0D475E-9F8C-98C9-76D1-7E1B18B74B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520852" y="19292672"/>
              <a:ext cx="5031946" cy="260315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374135</xdr:colOff>
      <xdr:row>117</xdr:row>
      <xdr:rowOff>14243</xdr:rowOff>
    </xdr:from>
    <xdr:to>
      <xdr:col>32</xdr:col>
      <xdr:colOff>34325</xdr:colOff>
      <xdr:row>127</xdr:row>
      <xdr:rowOff>-1</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7325B870-4D20-7C46-3F4B-49DC3F3D9F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3392885" y="20175493"/>
              <a:ext cx="3660690" cy="170025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807480</xdr:colOff>
      <xdr:row>141</xdr:row>
      <xdr:rowOff>142961</xdr:rowOff>
    </xdr:from>
    <xdr:to>
      <xdr:col>9</xdr:col>
      <xdr:colOff>771440</xdr:colOff>
      <xdr:row>157</xdr:row>
      <xdr:rowOff>2917</xdr:rowOff>
    </xdr:to>
    <xdr:graphicFrame macro="">
      <xdr:nvGraphicFramePr>
        <xdr:cNvPr id="9" name="Chart 8">
          <a:extLst>
            <a:ext uri="{FF2B5EF4-FFF2-40B4-BE49-F238E27FC236}">
              <a16:creationId xmlns:a16="http://schemas.microsoft.com/office/drawing/2014/main" id="{B27D8D75-430F-59BE-7C69-935A89CD3F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35182</xdr:colOff>
      <xdr:row>158</xdr:row>
      <xdr:rowOff>142961</xdr:rowOff>
    </xdr:from>
    <xdr:to>
      <xdr:col>10</xdr:col>
      <xdr:colOff>891574</xdr:colOff>
      <xdr:row>174</xdr:row>
      <xdr:rowOff>2917</xdr:rowOff>
    </xdr:to>
    <xdr:graphicFrame macro="">
      <xdr:nvGraphicFramePr>
        <xdr:cNvPr id="10" name="Chart 9">
          <a:extLst>
            <a:ext uri="{FF2B5EF4-FFF2-40B4-BE49-F238E27FC236}">
              <a16:creationId xmlns:a16="http://schemas.microsoft.com/office/drawing/2014/main" id="{E3CCCA02-AAE2-1680-6754-DA3C895E1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1332923</xdr:colOff>
      <xdr:row>1</xdr:row>
      <xdr:rowOff>0</xdr:rowOff>
    </xdr:from>
    <xdr:to>
      <xdr:col>31</xdr:col>
      <xdr:colOff>329711</xdr:colOff>
      <xdr:row>49</xdr:row>
      <xdr:rowOff>54329</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589365" y="170962"/>
          <a:ext cx="17362942" cy="8260482"/>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0</xdr:colOff>
      <xdr:row>0</xdr:row>
      <xdr:rowOff>97693</xdr:rowOff>
    </xdr:from>
    <xdr:to>
      <xdr:col>3</xdr:col>
      <xdr:colOff>0</xdr:colOff>
      <xdr:row>49</xdr:row>
      <xdr:rowOff>97692</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97693"/>
          <a:ext cx="2039327" cy="8377114"/>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101429</xdr:rowOff>
    </xdr:from>
    <xdr:to>
      <xdr:col>1</xdr:col>
      <xdr:colOff>1526443</xdr:colOff>
      <xdr:row>3</xdr:row>
      <xdr:rowOff>36634</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101429"/>
          <a:ext cx="1546261" cy="447211"/>
        </a:xfrm>
        <a:prstGeom prst="rect">
          <a:avLst/>
        </a:prstGeom>
      </xdr:spPr>
    </xdr:pic>
    <xdr:clientData/>
  </xdr:twoCellAnchor>
  <xdr:twoCellAnchor>
    <xdr:from>
      <xdr:col>1</xdr:col>
      <xdr:colOff>19050</xdr:colOff>
      <xdr:row>3</xdr:row>
      <xdr:rowOff>83257</xdr:rowOff>
    </xdr:from>
    <xdr:to>
      <xdr:col>1</xdr:col>
      <xdr:colOff>1371600</xdr:colOff>
      <xdr:row>7</xdr:row>
      <xdr:rowOff>38807</xdr:rowOff>
    </xdr:to>
    <xdr:sp macro="" textlink="Sheet1!H5">
      <xdr:nvSpPr>
        <xdr:cNvPr id="15" name="TextBox 14">
          <a:extLst>
            <a:ext uri="{FF2B5EF4-FFF2-40B4-BE49-F238E27FC236}">
              <a16:creationId xmlns:a16="http://schemas.microsoft.com/office/drawing/2014/main" id="{E1BCE1F8-5CF7-F1F8-DDEF-539ACE9587E6}"/>
            </a:ext>
          </a:extLst>
        </xdr:cNvPr>
        <xdr:cNvSpPr txBox="1"/>
      </xdr:nvSpPr>
      <xdr:spPr>
        <a:xfrm>
          <a:off x="254000" y="635707"/>
          <a:ext cx="1352550" cy="692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0B7A12-2E43-422C-8184-E6DFDF3B7903}" type="TxLink">
            <a:rPr lang="en-US" sz="2800" b="0" i="0" u="none" strike="noStrike" cap="none" spc="0">
              <a:ln>
                <a:solidFill>
                  <a:schemeClr val="accent6">
                    <a:lumMod val="40000"/>
                    <a:lumOff val="60000"/>
                  </a:schemeClr>
                </a:solidFill>
              </a:ln>
              <a:gradFill>
                <a:gsLst>
                  <a:gs pos="0">
                    <a:schemeClr val="accent1">
                      <a:lumMod val="5000"/>
                      <a:lumOff val="95000"/>
                      <a:alpha val="68000"/>
                    </a:schemeClr>
                  </a:gs>
                  <a:gs pos="74000">
                    <a:schemeClr val="accent1">
                      <a:lumMod val="45000"/>
                      <a:lumOff val="55000"/>
                    </a:schemeClr>
                  </a:gs>
                  <a:gs pos="83000">
                    <a:schemeClr val="accent1">
                      <a:lumMod val="45000"/>
                      <a:lumOff val="55000"/>
                    </a:schemeClr>
                  </a:gs>
                  <a:gs pos="21000">
                    <a:srgbClr val="4887E6"/>
                  </a:gs>
                </a:gsLst>
                <a:lin ang="3600000" scaled="0"/>
              </a:gradFill>
              <a:effectLst>
                <a:outerShdw blurRad="50800" dist="38100" dir="5400000" algn="t" rotWithShape="0">
                  <a:prstClr val="black">
                    <a:alpha val="40000"/>
                  </a:prstClr>
                </a:outerShdw>
              </a:effectLst>
              <a:latin typeface="Aptos Narrow"/>
            </a:rPr>
            <a:pPr/>
            <a:t>2,400</a:t>
          </a:fld>
          <a:endParaRPr lang="en-US" sz="2800" b="0" cap="none" spc="0">
            <a:ln>
              <a:solidFill>
                <a:schemeClr val="accent6">
                  <a:lumMod val="40000"/>
                  <a:lumOff val="60000"/>
                </a:schemeClr>
              </a:solidFill>
            </a:ln>
            <a:gradFill>
              <a:gsLst>
                <a:gs pos="0">
                  <a:schemeClr val="accent1">
                    <a:lumMod val="5000"/>
                    <a:lumOff val="95000"/>
                    <a:alpha val="68000"/>
                  </a:schemeClr>
                </a:gs>
                <a:gs pos="74000">
                  <a:schemeClr val="accent1">
                    <a:lumMod val="45000"/>
                    <a:lumOff val="55000"/>
                  </a:schemeClr>
                </a:gs>
                <a:gs pos="83000">
                  <a:schemeClr val="accent1">
                    <a:lumMod val="45000"/>
                    <a:lumOff val="55000"/>
                  </a:schemeClr>
                </a:gs>
                <a:gs pos="21000">
                  <a:srgbClr val="4887E6"/>
                </a:gs>
              </a:gsLst>
              <a:lin ang="3600000" scaled="0"/>
            </a:gradFill>
            <a:effectLst>
              <a:outerShdw blurRad="50800" dist="38100" dir="5400000" algn="t" rotWithShape="0">
                <a:prstClr val="black">
                  <a:alpha val="40000"/>
                </a:prstClr>
              </a:outerShdw>
            </a:effectLst>
          </a:endParaRPr>
        </a:p>
      </xdr:txBody>
    </xdr:sp>
    <xdr:clientData/>
  </xdr:twoCellAnchor>
  <xdr:twoCellAnchor>
    <xdr:from>
      <xdr:col>1</xdr:col>
      <xdr:colOff>19050</xdr:colOff>
      <xdr:row>6</xdr:row>
      <xdr:rowOff>143262</xdr:rowOff>
    </xdr:from>
    <xdr:to>
      <xdr:col>1</xdr:col>
      <xdr:colOff>1371600</xdr:colOff>
      <xdr:row>10</xdr:row>
      <xdr:rowOff>35889</xdr:rowOff>
    </xdr:to>
    <xdr:sp macro="" textlink="Sheet1!I5">
      <xdr:nvSpPr>
        <xdr:cNvPr id="17" name="TextBox 16">
          <a:extLst>
            <a:ext uri="{FF2B5EF4-FFF2-40B4-BE49-F238E27FC236}">
              <a16:creationId xmlns:a16="http://schemas.microsoft.com/office/drawing/2014/main" id="{05FE91D6-2CF4-42C5-83F5-F7B858B07CDB}"/>
            </a:ext>
          </a:extLst>
        </xdr:cNvPr>
        <xdr:cNvSpPr txBox="1"/>
      </xdr:nvSpPr>
      <xdr:spPr>
        <a:xfrm>
          <a:off x="254000" y="1248162"/>
          <a:ext cx="1352550" cy="629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3BE700-9E97-4AF7-B412-71BEF01D7A07}" type="TxLink">
            <a:rPr lang="en-US" sz="2800" b="0" i="0" u="none" strike="noStrike" cap="none" spc="0">
              <a:ln>
                <a:solidFill>
                  <a:schemeClr val="accent6">
                    <a:lumMod val="40000"/>
                    <a:lumOff val="60000"/>
                  </a:schemeClr>
                </a:solidFill>
              </a:ln>
              <a:gradFill>
                <a:gsLst>
                  <a:gs pos="0">
                    <a:schemeClr val="accent1">
                      <a:lumMod val="5000"/>
                      <a:lumOff val="95000"/>
                      <a:alpha val="68000"/>
                    </a:schemeClr>
                  </a:gs>
                  <a:gs pos="74000">
                    <a:schemeClr val="accent1">
                      <a:lumMod val="45000"/>
                      <a:lumOff val="55000"/>
                    </a:schemeClr>
                  </a:gs>
                  <a:gs pos="83000">
                    <a:schemeClr val="accent1">
                      <a:lumMod val="45000"/>
                      <a:lumOff val="55000"/>
                    </a:schemeClr>
                  </a:gs>
                  <a:gs pos="21000">
                    <a:srgbClr val="4887E6"/>
                  </a:gs>
                </a:gsLst>
                <a:lin ang="3600000" scaled="0"/>
              </a:gradFill>
              <a:effectLst>
                <a:outerShdw blurRad="50800" dist="38100" dir="5400000" algn="t" rotWithShape="0">
                  <a:prstClr val="black">
                    <a:alpha val="40000"/>
                  </a:prstClr>
                </a:outerShdw>
              </a:effectLst>
              <a:latin typeface="Aptos Narrow"/>
              <a:ea typeface="+mn-ea"/>
              <a:cs typeface="+mn-cs"/>
            </a:rPr>
            <a:pPr marL="0" indent="0"/>
            <a:t>11,997</a:t>
          </a:fld>
          <a:endParaRPr lang="en-US" sz="2800" b="0" i="0" u="none" strike="noStrike" cap="none" spc="0">
            <a:ln>
              <a:solidFill>
                <a:schemeClr val="accent6">
                  <a:lumMod val="40000"/>
                  <a:lumOff val="60000"/>
                </a:schemeClr>
              </a:solidFill>
            </a:ln>
            <a:gradFill>
              <a:gsLst>
                <a:gs pos="0">
                  <a:schemeClr val="accent1">
                    <a:lumMod val="5000"/>
                    <a:lumOff val="95000"/>
                    <a:alpha val="68000"/>
                  </a:schemeClr>
                </a:gs>
                <a:gs pos="74000">
                  <a:schemeClr val="accent1">
                    <a:lumMod val="45000"/>
                    <a:lumOff val="55000"/>
                  </a:schemeClr>
                </a:gs>
                <a:gs pos="83000">
                  <a:schemeClr val="accent1">
                    <a:lumMod val="45000"/>
                    <a:lumOff val="55000"/>
                  </a:schemeClr>
                </a:gs>
                <a:gs pos="21000">
                  <a:srgbClr val="4887E6"/>
                </a:gs>
              </a:gsLst>
              <a:lin ang="3600000" scaled="0"/>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1</xdr:col>
      <xdr:colOff>19050</xdr:colOff>
      <xdr:row>9</xdr:row>
      <xdr:rowOff>140344</xdr:rowOff>
    </xdr:from>
    <xdr:to>
      <xdr:col>1</xdr:col>
      <xdr:colOff>1371600</xdr:colOff>
      <xdr:row>13</xdr:row>
      <xdr:rowOff>95894</xdr:rowOff>
    </xdr:to>
    <xdr:sp macro="" textlink="Sheet1!J5">
      <xdr:nvSpPr>
        <xdr:cNvPr id="18" name="TextBox 17">
          <a:extLst>
            <a:ext uri="{FF2B5EF4-FFF2-40B4-BE49-F238E27FC236}">
              <a16:creationId xmlns:a16="http://schemas.microsoft.com/office/drawing/2014/main" id="{26ECF4AC-67D0-4B0C-B634-DF88E7B857CC}"/>
            </a:ext>
          </a:extLst>
        </xdr:cNvPr>
        <xdr:cNvSpPr txBox="1"/>
      </xdr:nvSpPr>
      <xdr:spPr>
        <a:xfrm>
          <a:off x="254000" y="1797694"/>
          <a:ext cx="1352550" cy="692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EFFAAAD-5E86-4E8C-9258-79E9BF196947}" type="TxLink">
            <a:rPr lang="en-US" sz="2800" b="0" i="0" u="none" strike="noStrike" cap="none" spc="0">
              <a:ln>
                <a:solidFill>
                  <a:schemeClr val="accent6">
                    <a:lumMod val="40000"/>
                    <a:lumOff val="60000"/>
                  </a:schemeClr>
                </a:solidFill>
              </a:ln>
              <a:gradFill>
                <a:gsLst>
                  <a:gs pos="0">
                    <a:schemeClr val="accent1">
                      <a:lumMod val="5000"/>
                      <a:lumOff val="95000"/>
                      <a:alpha val="68000"/>
                    </a:schemeClr>
                  </a:gs>
                  <a:gs pos="74000">
                    <a:schemeClr val="accent1">
                      <a:lumMod val="45000"/>
                      <a:lumOff val="55000"/>
                    </a:schemeClr>
                  </a:gs>
                  <a:gs pos="83000">
                    <a:schemeClr val="accent1">
                      <a:lumMod val="45000"/>
                      <a:lumOff val="55000"/>
                    </a:schemeClr>
                  </a:gs>
                  <a:gs pos="21000">
                    <a:srgbClr val="4887E6"/>
                  </a:gs>
                </a:gsLst>
                <a:lin ang="3600000" scaled="0"/>
              </a:gradFill>
              <a:effectLst>
                <a:outerShdw blurRad="50800" dist="38100" dir="5400000" algn="t" rotWithShape="0">
                  <a:prstClr val="black">
                    <a:alpha val="40000"/>
                  </a:prstClr>
                </a:outerShdw>
              </a:effectLst>
              <a:latin typeface="Aptos Narrow"/>
              <a:ea typeface="+mn-ea"/>
              <a:cs typeface="+mn-cs"/>
            </a:rPr>
            <a:pPr marL="0" indent="0"/>
            <a:t>649.0k</a:t>
          </a:fld>
          <a:endParaRPr lang="en-US" sz="2800" b="0" i="0" u="none" strike="noStrike" cap="none" spc="0">
            <a:ln>
              <a:solidFill>
                <a:schemeClr val="accent6">
                  <a:lumMod val="40000"/>
                  <a:lumOff val="60000"/>
                </a:schemeClr>
              </a:solidFill>
            </a:ln>
            <a:gradFill>
              <a:gsLst>
                <a:gs pos="0">
                  <a:schemeClr val="accent1">
                    <a:lumMod val="5000"/>
                    <a:lumOff val="95000"/>
                    <a:alpha val="68000"/>
                  </a:schemeClr>
                </a:gs>
                <a:gs pos="74000">
                  <a:schemeClr val="accent1">
                    <a:lumMod val="45000"/>
                    <a:lumOff val="55000"/>
                  </a:schemeClr>
                </a:gs>
                <a:gs pos="83000">
                  <a:schemeClr val="accent1">
                    <a:lumMod val="45000"/>
                    <a:lumOff val="55000"/>
                  </a:schemeClr>
                </a:gs>
                <a:gs pos="21000">
                  <a:srgbClr val="4887E6"/>
                </a:gs>
              </a:gsLst>
              <a:lin ang="3600000" scaled="0"/>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1</xdr:col>
      <xdr:colOff>19050</xdr:colOff>
      <xdr:row>13</xdr:row>
      <xdr:rowOff>16199</xdr:rowOff>
    </xdr:from>
    <xdr:to>
      <xdr:col>1</xdr:col>
      <xdr:colOff>1371600</xdr:colOff>
      <xdr:row>16</xdr:row>
      <xdr:rowOff>155899</xdr:rowOff>
    </xdr:to>
    <xdr:sp macro="" textlink="Sheet1!K5">
      <xdr:nvSpPr>
        <xdr:cNvPr id="19" name="TextBox 18">
          <a:extLst>
            <a:ext uri="{FF2B5EF4-FFF2-40B4-BE49-F238E27FC236}">
              <a16:creationId xmlns:a16="http://schemas.microsoft.com/office/drawing/2014/main" id="{F26A6A0D-1367-4334-A563-BEAC9F1B0018}"/>
            </a:ext>
          </a:extLst>
        </xdr:cNvPr>
        <xdr:cNvSpPr txBox="1"/>
      </xdr:nvSpPr>
      <xdr:spPr>
        <a:xfrm>
          <a:off x="254000" y="2410149"/>
          <a:ext cx="1352550" cy="692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4CF07E-F702-47D9-8B70-6C1D49BB13AE}" type="TxLink">
            <a:rPr lang="en-US" sz="2800" b="0" i="0" u="none" strike="noStrike" cap="none" spc="0">
              <a:ln>
                <a:solidFill>
                  <a:schemeClr val="accent6">
                    <a:lumMod val="40000"/>
                    <a:lumOff val="60000"/>
                  </a:schemeClr>
                </a:solidFill>
              </a:ln>
              <a:gradFill>
                <a:gsLst>
                  <a:gs pos="0">
                    <a:schemeClr val="accent1">
                      <a:lumMod val="5000"/>
                      <a:lumOff val="95000"/>
                      <a:alpha val="68000"/>
                    </a:schemeClr>
                  </a:gs>
                  <a:gs pos="74000">
                    <a:schemeClr val="accent1">
                      <a:lumMod val="45000"/>
                      <a:lumOff val="55000"/>
                    </a:schemeClr>
                  </a:gs>
                  <a:gs pos="83000">
                    <a:schemeClr val="accent1">
                      <a:lumMod val="45000"/>
                      <a:lumOff val="55000"/>
                    </a:schemeClr>
                  </a:gs>
                  <a:gs pos="21000">
                    <a:srgbClr val="4887E6"/>
                  </a:gs>
                </a:gsLst>
                <a:lin ang="3600000" scaled="0"/>
              </a:gradFill>
              <a:effectLst>
                <a:outerShdw blurRad="50800" dist="38100" dir="5400000" algn="t" rotWithShape="0">
                  <a:prstClr val="black">
                    <a:alpha val="40000"/>
                  </a:prstClr>
                </a:outerShdw>
              </a:effectLst>
              <a:latin typeface="Aptos Narrow"/>
              <a:ea typeface="+mn-ea"/>
              <a:cs typeface="+mn-cs"/>
            </a:rPr>
            <a:pPr marL="0" indent="0"/>
            <a:t>4.0</a:t>
          </a:fld>
          <a:endParaRPr lang="en-US" sz="2800" b="0" i="0" u="none" strike="noStrike" cap="none" spc="0">
            <a:ln>
              <a:solidFill>
                <a:schemeClr val="accent6">
                  <a:lumMod val="40000"/>
                  <a:lumOff val="60000"/>
                </a:schemeClr>
              </a:solidFill>
            </a:ln>
            <a:gradFill>
              <a:gsLst>
                <a:gs pos="0">
                  <a:schemeClr val="accent1">
                    <a:lumMod val="5000"/>
                    <a:lumOff val="95000"/>
                    <a:alpha val="68000"/>
                  </a:schemeClr>
                </a:gs>
                <a:gs pos="74000">
                  <a:schemeClr val="accent1">
                    <a:lumMod val="45000"/>
                    <a:lumOff val="55000"/>
                  </a:schemeClr>
                </a:gs>
                <a:gs pos="83000">
                  <a:schemeClr val="accent1">
                    <a:lumMod val="45000"/>
                    <a:lumOff val="55000"/>
                  </a:schemeClr>
                </a:gs>
                <a:gs pos="21000">
                  <a:srgbClr val="4887E6"/>
                </a:gs>
              </a:gsLst>
              <a:lin ang="3600000" scaled="0"/>
            </a:gradFill>
            <a:effectLst>
              <a:outerShdw blurRad="50800" dist="38100" dir="5400000" algn="t" rotWithShape="0">
                <a:prstClr val="black">
                  <a:alpha val="40000"/>
                </a:prstClr>
              </a:outerShdw>
            </a:effectLst>
            <a:latin typeface="Aptos Narrow"/>
            <a:ea typeface="+mn-ea"/>
            <a:cs typeface="+mn-cs"/>
          </a:endParaRPr>
        </a:p>
      </xdr:txBody>
    </xdr:sp>
    <xdr:clientData/>
  </xdr:twoCellAnchor>
  <xdr:twoCellAnchor>
    <xdr:from>
      <xdr:col>1</xdr:col>
      <xdr:colOff>19050</xdr:colOff>
      <xdr:row>16</xdr:row>
      <xdr:rowOff>76200</xdr:rowOff>
    </xdr:from>
    <xdr:to>
      <xdr:col>1</xdr:col>
      <xdr:colOff>1371600</xdr:colOff>
      <xdr:row>20</xdr:row>
      <xdr:rowOff>31750</xdr:rowOff>
    </xdr:to>
    <xdr:sp macro="" textlink="Sheet1!L5">
      <xdr:nvSpPr>
        <xdr:cNvPr id="20" name="TextBox 19">
          <a:extLst>
            <a:ext uri="{FF2B5EF4-FFF2-40B4-BE49-F238E27FC236}">
              <a16:creationId xmlns:a16="http://schemas.microsoft.com/office/drawing/2014/main" id="{3630E081-0E96-4D53-B060-2744050EB670}"/>
            </a:ext>
          </a:extLst>
        </xdr:cNvPr>
        <xdr:cNvSpPr txBox="1"/>
      </xdr:nvSpPr>
      <xdr:spPr>
        <a:xfrm>
          <a:off x="254000" y="3022600"/>
          <a:ext cx="1352550" cy="692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5B09524-71CC-4F60-9213-D66B84136501}" type="TxLink">
            <a:rPr lang="en-US" sz="2800" b="0" i="0" u="none" strike="noStrike" cap="none" spc="0">
              <a:ln>
                <a:solidFill>
                  <a:schemeClr val="accent6">
                    <a:lumMod val="40000"/>
                    <a:lumOff val="60000"/>
                  </a:schemeClr>
                </a:solidFill>
              </a:ln>
              <a:gradFill>
                <a:gsLst>
                  <a:gs pos="0">
                    <a:schemeClr val="accent1">
                      <a:lumMod val="5000"/>
                      <a:lumOff val="95000"/>
                      <a:alpha val="68000"/>
                    </a:schemeClr>
                  </a:gs>
                  <a:gs pos="74000">
                    <a:schemeClr val="accent1">
                      <a:lumMod val="45000"/>
                      <a:lumOff val="55000"/>
                    </a:schemeClr>
                  </a:gs>
                  <a:gs pos="83000">
                    <a:schemeClr val="accent1">
                      <a:lumMod val="45000"/>
                      <a:lumOff val="55000"/>
                    </a:schemeClr>
                  </a:gs>
                  <a:gs pos="21000">
                    <a:srgbClr val="4887E6"/>
                  </a:gs>
                </a:gsLst>
                <a:lin ang="3600000" scaled="0"/>
              </a:gradFill>
              <a:effectLst>
                <a:outerShdw blurRad="50800" dist="38100" dir="5400000" algn="t" rotWithShape="0">
                  <a:prstClr val="black">
                    <a:alpha val="40000"/>
                  </a:prstClr>
                </a:outerShdw>
              </a:effectLst>
              <a:latin typeface="Aptos Narrow"/>
              <a:ea typeface="+mn-ea"/>
              <a:cs typeface="+mn-cs"/>
            </a:rPr>
            <a:pPr marL="0" indent="0"/>
            <a:t>2.3</a:t>
          </a:fld>
          <a:endParaRPr lang="en-US" sz="2800" b="0" i="0" u="none" strike="noStrike" cap="none" spc="0">
            <a:ln>
              <a:solidFill>
                <a:schemeClr val="accent6">
                  <a:lumMod val="40000"/>
                  <a:lumOff val="60000"/>
                </a:schemeClr>
              </a:solidFill>
            </a:ln>
            <a:gradFill>
              <a:gsLst>
                <a:gs pos="0">
                  <a:schemeClr val="accent1">
                    <a:lumMod val="5000"/>
                    <a:lumOff val="95000"/>
                    <a:alpha val="68000"/>
                  </a:schemeClr>
                </a:gs>
                <a:gs pos="74000">
                  <a:schemeClr val="accent1">
                    <a:lumMod val="45000"/>
                    <a:lumOff val="55000"/>
                  </a:schemeClr>
                </a:gs>
                <a:gs pos="83000">
                  <a:schemeClr val="accent1">
                    <a:lumMod val="45000"/>
                    <a:lumOff val="55000"/>
                  </a:schemeClr>
                </a:gs>
                <a:gs pos="21000">
                  <a:srgbClr val="4887E6"/>
                </a:gs>
              </a:gsLst>
              <a:lin ang="3600000" scaled="0"/>
            </a:gradFill>
            <a:effectLst>
              <a:outerShdw blurRad="50800" dist="38100" dir="5400000" algn="t" rotWithShape="0">
                <a:prstClr val="black">
                  <a:alpha val="40000"/>
                </a:prstClr>
              </a:outerShdw>
            </a:effectLst>
            <a:latin typeface="Aptos Narrow"/>
            <a:ea typeface="+mn-ea"/>
            <a:cs typeface="+mn-cs"/>
          </a:endParaRPr>
        </a:p>
      </xdr:txBody>
    </xdr:sp>
    <xdr:clientData/>
  </xdr:twoCellAnchor>
  <xdr:oneCellAnchor>
    <xdr:from>
      <xdr:col>1</xdr:col>
      <xdr:colOff>19050</xdr:colOff>
      <xdr:row>2</xdr:row>
      <xdr:rowOff>165100</xdr:rowOff>
    </xdr:from>
    <xdr:ext cx="805670" cy="284309"/>
    <xdr:sp macro="" textlink="Sheet1!H4">
      <xdr:nvSpPr>
        <xdr:cNvPr id="21" name="TextBox 20">
          <a:extLst>
            <a:ext uri="{FF2B5EF4-FFF2-40B4-BE49-F238E27FC236}">
              <a16:creationId xmlns:a16="http://schemas.microsoft.com/office/drawing/2014/main" id="{DBCAE8DB-6CF4-BDEF-F07D-AFC131AD350E}"/>
            </a:ext>
          </a:extLst>
        </xdr:cNvPr>
        <xdr:cNvSpPr txBox="1"/>
      </xdr:nvSpPr>
      <xdr:spPr>
        <a:xfrm>
          <a:off x="273050" y="516792"/>
          <a:ext cx="805670" cy="284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0" i="0" u="none" strike="noStrike">
              <a:solidFill>
                <a:schemeClr val="tx1"/>
              </a:solidFill>
              <a:effectLst/>
              <a:latin typeface="+mn-lt"/>
              <a:ea typeface="+mn-ea"/>
              <a:cs typeface="+mn-cs"/>
            </a:rPr>
            <a:t>🛒</a:t>
          </a:r>
          <a:r>
            <a:rPr lang="en-US">
              <a:effectLst/>
            </a:rPr>
            <a:t> </a:t>
          </a:r>
          <a:fld id="{659A2E48-A714-4F33-AA97-7FD55844C89D}" type="TxLink">
            <a:rPr lang="en-US" sz="1100" b="0" i="0" u="none" strike="noStrike">
              <a:solidFill>
                <a:schemeClr val="bg1">
                  <a:lumMod val="85000"/>
                </a:schemeClr>
              </a:solidFill>
              <a:latin typeface="Aptos Narrow"/>
              <a:ea typeface="+mn-ea"/>
              <a:cs typeface="+mn-cs"/>
            </a:rPr>
            <a:pPr marL="0" indent="0"/>
            <a:t>orders </a:t>
          </a:fld>
          <a:endParaRPr lang="en-US" sz="1100" b="0" i="0" u="none" strike="noStrike">
            <a:solidFill>
              <a:schemeClr val="bg1">
                <a:lumMod val="85000"/>
              </a:schemeClr>
            </a:solidFill>
            <a:latin typeface="Aptos Narrow"/>
            <a:ea typeface="+mn-ea"/>
            <a:cs typeface="+mn-cs"/>
          </a:endParaRPr>
        </a:p>
      </xdr:txBody>
    </xdr:sp>
    <xdr:clientData/>
  </xdr:oneCellAnchor>
  <xdr:oneCellAnchor>
    <xdr:from>
      <xdr:col>1</xdr:col>
      <xdr:colOff>19050</xdr:colOff>
      <xdr:row>6</xdr:row>
      <xdr:rowOff>40955</xdr:rowOff>
    </xdr:from>
    <xdr:ext cx="762000" cy="284309"/>
    <xdr:sp macro="" textlink="Sheet1!I4">
      <xdr:nvSpPr>
        <xdr:cNvPr id="22" name="TextBox 21">
          <a:extLst>
            <a:ext uri="{FF2B5EF4-FFF2-40B4-BE49-F238E27FC236}">
              <a16:creationId xmlns:a16="http://schemas.microsoft.com/office/drawing/2014/main" id="{E1CE5D9E-E4ED-4A69-89FA-1148D9EB9C71}"/>
            </a:ext>
          </a:extLst>
        </xdr:cNvPr>
        <xdr:cNvSpPr txBox="1"/>
      </xdr:nvSpPr>
      <xdr:spPr>
        <a:xfrm>
          <a:off x="254000" y="1145855"/>
          <a:ext cx="762000" cy="284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100" b="0" i="0" u="none" strike="noStrike">
              <a:solidFill>
                <a:schemeClr val="tx1"/>
              </a:solidFill>
              <a:effectLst/>
              <a:latin typeface="+mn-lt"/>
              <a:ea typeface="+mn-ea"/>
              <a:cs typeface="+mn-cs"/>
            </a:rPr>
            <a:t>👕</a:t>
          </a:r>
          <a:r>
            <a:rPr lang="en-US">
              <a:effectLst/>
            </a:rPr>
            <a:t> </a:t>
          </a:r>
          <a:fld id="{BE7BF719-2E30-418A-A72A-0C9D229388BD}" type="TxLink">
            <a:rPr lang="en-US" sz="1100" b="0" i="0" u="none" strike="noStrike">
              <a:solidFill>
                <a:schemeClr val="bg1">
                  <a:lumMod val="85000"/>
                </a:schemeClr>
              </a:solidFill>
              <a:latin typeface="Aptos Narrow"/>
              <a:ea typeface="+mn-ea"/>
              <a:cs typeface="+mn-cs"/>
            </a:rPr>
            <a:pPr marL="0" indent="0"/>
            <a:t>qty</a:t>
          </a:fld>
          <a:endParaRPr lang="en-US" sz="1100" b="0" i="0" u="none" strike="noStrike">
            <a:solidFill>
              <a:schemeClr val="bg1">
                <a:lumMod val="85000"/>
              </a:schemeClr>
            </a:solidFill>
            <a:latin typeface="Aptos Narrow"/>
            <a:ea typeface="+mn-ea"/>
            <a:cs typeface="+mn-cs"/>
          </a:endParaRPr>
        </a:p>
      </xdr:txBody>
    </xdr:sp>
    <xdr:clientData/>
  </xdr:oneCellAnchor>
  <xdr:oneCellAnchor>
    <xdr:from>
      <xdr:col>1</xdr:col>
      <xdr:colOff>19050</xdr:colOff>
      <xdr:row>9</xdr:row>
      <xdr:rowOff>38037</xdr:rowOff>
    </xdr:from>
    <xdr:ext cx="1212850" cy="284309"/>
    <xdr:sp macro="" textlink="Sheet1!J4">
      <xdr:nvSpPr>
        <xdr:cNvPr id="25" name="TextBox 24">
          <a:extLst>
            <a:ext uri="{FF2B5EF4-FFF2-40B4-BE49-F238E27FC236}">
              <a16:creationId xmlns:a16="http://schemas.microsoft.com/office/drawing/2014/main" id="{39303C30-F67E-44AC-A1E6-89E7D92DF762}"/>
            </a:ext>
          </a:extLst>
        </xdr:cNvPr>
        <xdr:cNvSpPr txBox="1"/>
      </xdr:nvSpPr>
      <xdr:spPr>
        <a:xfrm>
          <a:off x="254000" y="1695387"/>
          <a:ext cx="1212850" cy="284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100" b="0" i="0" u="none" strike="noStrike">
              <a:solidFill>
                <a:schemeClr val="tx1"/>
              </a:solidFill>
              <a:effectLst/>
              <a:latin typeface="+mn-lt"/>
              <a:ea typeface="+mn-ea"/>
              <a:cs typeface="+mn-cs"/>
            </a:rPr>
            <a:t>💰</a:t>
          </a:r>
          <a:r>
            <a:rPr lang="en-US">
              <a:effectLst/>
            </a:rPr>
            <a:t> </a:t>
          </a:r>
          <a:fld id="{2504764E-A12C-4135-8609-6849FE131DCE}" type="TxLink">
            <a:rPr lang="en-US" sz="1100" b="0" i="0" u="none" strike="noStrike">
              <a:solidFill>
                <a:schemeClr val="bg1">
                  <a:lumMod val="85000"/>
                </a:schemeClr>
              </a:solidFill>
              <a:latin typeface="Aptos Narrow"/>
              <a:ea typeface="+mn-ea"/>
              <a:cs typeface="+mn-cs"/>
            </a:rPr>
            <a:pPr marL="0" indent="0"/>
            <a:t>amount</a:t>
          </a:fld>
          <a:endParaRPr lang="en-US" sz="1100" b="0" i="0" u="none" strike="noStrike">
            <a:solidFill>
              <a:schemeClr val="bg1">
                <a:lumMod val="85000"/>
              </a:schemeClr>
            </a:solidFill>
            <a:latin typeface="Aptos Narrow"/>
            <a:ea typeface="+mn-ea"/>
            <a:cs typeface="+mn-cs"/>
          </a:endParaRPr>
        </a:p>
      </xdr:txBody>
    </xdr:sp>
    <xdr:clientData/>
  </xdr:oneCellAnchor>
  <xdr:oneCellAnchor>
    <xdr:from>
      <xdr:col>1</xdr:col>
      <xdr:colOff>19050</xdr:colOff>
      <xdr:row>12</xdr:row>
      <xdr:rowOff>98042</xdr:rowOff>
    </xdr:from>
    <xdr:ext cx="1117600" cy="284309"/>
    <xdr:sp macro="" textlink="Sheet1!K4">
      <xdr:nvSpPr>
        <xdr:cNvPr id="26" name="TextBox 25">
          <a:extLst>
            <a:ext uri="{FF2B5EF4-FFF2-40B4-BE49-F238E27FC236}">
              <a16:creationId xmlns:a16="http://schemas.microsoft.com/office/drawing/2014/main" id="{FC503623-DA12-4F36-8CF5-A81D1FF7B03D}"/>
            </a:ext>
          </a:extLst>
        </xdr:cNvPr>
        <xdr:cNvSpPr txBox="1"/>
      </xdr:nvSpPr>
      <xdr:spPr>
        <a:xfrm>
          <a:off x="254000" y="2307842"/>
          <a:ext cx="1117600" cy="284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100" b="0" i="0" u="none" strike="noStrike">
              <a:solidFill>
                <a:schemeClr val="tx1"/>
              </a:solidFill>
              <a:effectLst/>
              <a:latin typeface="+mn-lt"/>
              <a:ea typeface="+mn-ea"/>
              <a:cs typeface="+mn-cs"/>
            </a:rPr>
            <a:t>⭐</a:t>
          </a:r>
          <a:r>
            <a:rPr lang="en-US">
              <a:effectLst/>
            </a:rPr>
            <a:t> </a:t>
          </a:r>
          <a:fld id="{F53B2042-80F5-40CB-BC67-FF532337086D}" type="TxLink">
            <a:rPr lang="en-US" sz="1100" b="0" i="0" u="none" strike="noStrike">
              <a:solidFill>
                <a:schemeClr val="bg1">
                  <a:lumMod val="85000"/>
                </a:schemeClr>
              </a:solidFill>
              <a:latin typeface="Aptos Narrow"/>
              <a:ea typeface="+mn-ea"/>
              <a:cs typeface="+mn-cs"/>
            </a:rPr>
            <a:pPr marL="0" indent="0"/>
            <a:t>Avg rating </a:t>
          </a:fld>
          <a:endParaRPr lang="en-US" sz="1100" b="0" i="0" u="none" strike="noStrike">
            <a:solidFill>
              <a:schemeClr val="bg1">
                <a:lumMod val="85000"/>
              </a:schemeClr>
            </a:solidFill>
            <a:latin typeface="Aptos Narrow"/>
            <a:ea typeface="+mn-ea"/>
            <a:cs typeface="+mn-cs"/>
          </a:endParaRPr>
        </a:p>
      </xdr:txBody>
    </xdr:sp>
    <xdr:clientData/>
  </xdr:oneCellAnchor>
  <xdr:oneCellAnchor>
    <xdr:from>
      <xdr:col>1</xdr:col>
      <xdr:colOff>19050</xdr:colOff>
      <xdr:row>15</xdr:row>
      <xdr:rowOff>158047</xdr:rowOff>
    </xdr:from>
    <xdr:ext cx="1136650" cy="284309"/>
    <xdr:sp macro="" textlink="Sheet1!L4">
      <xdr:nvSpPr>
        <xdr:cNvPr id="27" name="TextBox 26">
          <a:extLst>
            <a:ext uri="{FF2B5EF4-FFF2-40B4-BE49-F238E27FC236}">
              <a16:creationId xmlns:a16="http://schemas.microsoft.com/office/drawing/2014/main" id="{AB190A71-1A43-4670-B257-4A8B14579BE0}"/>
            </a:ext>
          </a:extLst>
        </xdr:cNvPr>
        <xdr:cNvSpPr txBox="1"/>
      </xdr:nvSpPr>
      <xdr:spPr>
        <a:xfrm>
          <a:off x="254000" y="2920297"/>
          <a:ext cx="1136650" cy="284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100" b="0" i="0" u="none" strike="noStrike">
              <a:solidFill>
                <a:schemeClr val="tx1"/>
              </a:solidFill>
              <a:effectLst/>
              <a:latin typeface="+mn-lt"/>
              <a:ea typeface="+mn-ea"/>
              <a:cs typeface="+mn-cs"/>
            </a:rPr>
            <a:t>📅</a:t>
          </a:r>
          <a:r>
            <a:rPr lang="en-US">
              <a:effectLst/>
            </a:rPr>
            <a:t> </a:t>
          </a:r>
          <a:fld id="{B4324142-3BEF-41EF-BD70-45A2A59B92EE}" type="TxLink">
            <a:rPr lang="en-US" sz="1100" b="0" i="0" u="none" strike="noStrike">
              <a:solidFill>
                <a:schemeClr val="bg1">
                  <a:lumMod val="85000"/>
                </a:schemeClr>
              </a:solidFill>
              <a:latin typeface="Aptos Narrow"/>
              <a:ea typeface="+mn-ea"/>
              <a:cs typeface="+mn-cs"/>
            </a:rPr>
            <a:pPr marL="0" indent="0"/>
            <a:t>avg Days</a:t>
          </a:fld>
          <a:endParaRPr lang="en-US" sz="1100" b="0" i="0" u="none" strike="noStrike">
            <a:solidFill>
              <a:schemeClr val="bg1">
                <a:lumMod val="85000"/>
              </a:schemeClr>
            </a:solidFill>
            <a:latin typeface="Aptos Narrow"/>
            <a:ea typeface="+mn-ea"/>
            <a:cs typeface="+mn-cs"/>
          </a:endParaRPr>
        </a:p>
      </xdr:txBody>
    </xdr:sp>
    <xdr:clientData/>
  </xdr:oneCellAnchor>
  <xdr:twoCellAnchor>
    <xdr:from>
      <xdr:col>3</xdr:col>
      <xdr:colOff>185616</xdr:colOff>
      <xdr:row>3</xdr:row>
      <xdr:rowOff>0</xdr:rowOff>
    </xdr:from>
    <xdr:to>
      <xdr:col>10</xdr:col>
      <xdr:colOff>0</xdr:colOff>
      <xdr:row>19</xdr:row>
      <xdr:rowOff>0</xdr:rowOff>
    </xdr:to>
    <xdr:graphicFrame macro="">
      <xdr:nvGraphicFramePr>
        <xdr:cNvPr id="28" name="Chart 27">
          <a:extLst>
            <a:ext uri="{FF2B5EF4-FFF2-40B4-BE49-F238E27FC236}">
              <a16:creationId xmlns:a16="http://schemas.microsoft.com/office/drawing/2014/main" id="{D4115AE0-3DD2-4FAF-AA6B-3E59CD5AD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55077</xdr:colOff>
      <xdr:row>3</xdr:row>
      <xdr:rowOff>0</xdr:rowOff>
    </xdr:from>
    <xdr:to>
      <xdr:col>18</xdr:col>
      <xdr:colOff>158750</xdr:colOff>
      <xdr:row>18</xdr:row>
      <xdr:rowOff>-1</xdr:rowOff>
    </xdr:to>
    <xdr:grpSp>
      <xdr:nvGrpSpPr>
        <xdr:cNvPr id="47" name="Group 46">
          <a:extLst>
            <a:ext uri="{FF2B5EF4-FFF2-40B4-BE49-F238E27FC236}">
              <a16:creationId xmlns:a16="http://schemas.microsoft.com/office/drawing/2014/main" id="{44D95879-0422-88FC-87F7-6866312479E1}"/>
            </a:ext>
          </a:extLst>
        </xdr:cNvPr>
        <xdr:cNvGrpSpPr/>
      </xdr:nvGrpSpPr>
      <xdr:grpSpPr>
        <a:xfrm>
          <a:off x="6571154" y="527538"/>
          <a:ext cx="4343519" cy="2637692"/>
          <a:chOff x="5948265" y="90714"/>
          <a:chExt cx="3589694" cy="1658776"/>
        </a:xfrm>
      </xdr:grpSpPr>
      <xdr:sp macro="" textlink="">
        <xdr:nvSpPr>
          <xdr:cNvPr id="46" name="Rectangle 45">
            <a:extLst>
              <a:ext uri="{FF2B5EF4-FFF2-40B4-BE49-F238E27FC236}">
                <a16:creationId xmlns:a16="http://schemas.microsoft.com/office/drawing/2014/main" id="{45B24EB8-F7E4-5587-CF34-FF769625735A}"/>
              </a:ext>
            </a:extLst>
          </xdr:cNvPr>
          <xdr:cNvSpPr/>
        </xdr:nvSpPr>
        <xdr:spPr>
          <a:xfrm>
            <a:off x="5948265" y="90714"/>
            <a:ext cx="3589694" cy="165877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pic>
            <xdr:nvPicPr>
              <xdr:cNvPr id="44" name="Picture 43">
                <a:extLst>
                  <a:ext uri="{FF2B5EF4-FFF2-40B4-BE49-F238E27FC236}">
                    <a16:creationId xmlns:a16="http://schemas.microsoft.com/office/drawing/2014/main" id="{EB005853-C6D9-AE9B-9EF6-AA1DF8F944D3}"/>
                  </a:ext>
                </a:extLst>
              </xdr:cNvPr>
              <xdr:cNvPicPr>
                <a:picLocks noChangeAspect="1" noChangeArrowheads="1"/>
                <a:extLst>
                  <a:ext uri="{84589F7E-364E-4C9E-8A38-B11213B215E9}">
                    <a14:cameraTool cellRange="Sheet1!$I$27:$M$32" spid="_x0000_s1075"/>
                  </a:ext>
                </a:extLst>
              </xdr:cNvPicPr>
            </xdr:nvPicPr>
            <xdr:blipFill>
              <a:blip xmlns:r="http://schemas.openxmlformats.org/officeDocument/2006/relationships" r:embed="rId3"/>
              <a:srcRect/>
              <a:stretch>
                <a:fillRect/>
              </a:stretch>
            </xdr:blipFill>
            <xdr:spPr bwMode="auto">
              <a:xfrm>
                <a:off x="6077855" y="181429"/>
                <a:ext cx="3330511" cy="1516224"/>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18</xdr:col>
      <xdr:colOff>610004</xdr:colOff>
      <xdr:row>3</xdr:row>
      <xdr:rowOff>0</xdr:rowOff>
    </xdr:from>
    <xdr:to>
      <xdr:col>27</xdr:col>
      <xdr:colOff>0</xdr:colOff>
      <xdr:row>18</xdr:row>
      <xdr:rowOff>9071</xdr:rowOff>
    </xdr:to>
    <xdr:graphicFrame macro="">
      <xdr:nvGraphicFramePr>
        <xdr:cNvPr id="49" name="Chart 48">
          <a:extLst>
            <a:ext uri="{FF2B5EF4-FFF2-40B4-BE49-F238E27FC236}">
              <a16:creationId xmlns:a16="http://schemas.microsoft.com/office/drawing/2014/main" id="{32E1F2B9-BB02-4F8B-8AD7-12A2CE11A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109904</xdr:colOff>
      <xdr:row>20</xdr:row>
      <xdr:rowOff>61057</xdr:rowOff>
    </xdr:from>
    <xdr:to>
      <xdr:col>10</xdr:col>
      <xdr:colOff>292692</xdr:colOff>
      <xdr:row>43</xdr:row>
      <xdr:rowOff>80987</xdr:rowOff>
    </xdr:to>
    <xdr:graphicFrame macro="">
      <xdr:nvGraphicFramePr>
        <xdr:cNvPr id="8" name="Chart 7">
          <a:extLst>
            <a:ext uri="{FF2B5EF4-FFF2-40B4-BE49-F238E27FC236}">
              <a16:creationId xmlns:a16="http://schemas.microsoft.com/office/drawing/2014/main" id="{BF2E0C47-A659-43E6-A712-6433056A2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576386</xdr:colOff>
      <xdr:row>31</xdr:row>
      <xdr:rowOff>151550</xdr:rowOff>
    </xdr:from>
    <xdr:to>
      <xdr:col>8</xdr:col>
      <xdr:colOff>254001</xdr:colOff>
      <xdr:row>39</xdr:row>
      <xdr:rowOff>19429</xdr:rowOff>
    </xdr:to>
    <xdr:graphicFrame macro="">
      <xdr:nvGraphicFramePr>
        <xdr:cNvPr id="9" name="Chart 8">
          <a:extLst>
            <a:ext uri="{FF2B5EF4-FFF2-40B4-BE49-F238E27FC236}">
              <a16:creationId xmlns:a16="http://schemas.microsoft.com/office/drawing/2014/main" id="{87E54305-4C15-4199-A8B0-7FE41F04B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73270</xdr:colOff>
      <xdr:row>20</xdr:row>
      <xdr:rowOff>30264</xdr:rowOff>
    </xdr:from>
    <xdr:to>
      <xdr:col>18</xdr:col>
      <xdr:colOff>236627</xdr:colOff>
      <xdr:row>44</xdr:row>
      <xdr:rowOff>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33982D8B-FB39-4B01-8370-F9C94BC2B6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613770" y="3459264"/>
              <a:ext cx="4430557" cy="408453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196273</xdr:colOff>
      <xdr:row>24</xdr:row>
      <xdr:rowOff>87923</xdr:rowOff>
    </xdr:from>
    <xdr:to>
      <xdr:col>17</xdr:col>
      <xdr:colOff>542637</xdr:colOff>
      <xdr:row>33</xdr:row>
      <xdr:rowOff>39076</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145437B9-9352-43ED-AC96-D1B2A11D00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135119" y="4308231"/>
              <a:ext cx="1557749" cy="153376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0</xdr:colOff>
      <xdr:row>20</xdr:row>
      <xdr:rowOff>24423</xdr:rowOff>
    </xdr:from>
    <xdr:to>
      <xdr:col>26</xdr:col>
      <xdr:colOff>366227</xdr:colOff>
      <xdr:row>33</xdr:row>
      <xdr:rowOff>66541</xdr:rowOff>
    </xdr:to>
    <xdr:graphicFrame macro="">
      <xdr:nvGraphicFramePr>
        <xdr:cNvPr id="14" name="Chart 13">
          <a:extLst>
            <a:ext uri="{FF2B5EF4-FFF2-40B4-BE49-F238E27FC236}">
              <a16:creationId xmlns:a16="http://schemas.microsoft.com/office/drawing/2014/main" id="{532923A9-03E5-455B-B425-B6AFB1BD4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0</xdr:colOff>
      <xdr:row>34</xdr:row>
      <xdr:rowOff>51505</xdr:rowOff>
    </xdr:from>
    <xdr:to>
      <xdr:col>26</xdr:col>
      <xdr:colOff>564519</xdr:colOff>
      <xdr:row>43</xdr:row>
      <xdr:rowOff>158751</xdr:rowOff>
    </xdr:to>
    <xdr:graphicFrame macro="">
      <xdr:nvGraphicFramePr>
        <xdr:cNvPr id="16" name="Chart 15">
          <a:extLst>
            <a:ext uri="{FF2B5EF4-FFF2-40B4-BE49-F238E27FC236}">
              <a16:creationId xmlns:a16="http://schemas.microsoft.com/office/drawing/2014/main" id="{169CEFEA-5910-4839-B8D4-3D995062A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54429</xdr:colOff>
      <xdr:row>20</xdr:row>
      <xdr:rowOff>54428</xdr:rowOff>
    </xdr:from>
    <xdr:to>
      <xdr:col>1</xdr:col>
      <xdr:colOff>1538654</xdr:colOff>
      <xdr:row>30</xdr:row>
      <xdr:rowOff>127043</xdr:rowOff>
    </xdr:to>
    <mc:AlternateContent xmlns:mc="http://schemas.openxmlformats.org/markup-compatibility/2006" xmlns:a14="http://schemas.microsoft.com/office/drawing/2010/main">
      <mc:Choice Requires="a14">
        <xdr:graphicFrame macro="">
          <xdr:nvGraphicFramePr>
            <xdr:cNvPr id="23" name="Order Mode">
              <a:extLst>
                <a:ext uri="{FF2B5EF4-FFF2-40B4-BE49-F238E27FC236}">
                  <a16:creationId xmlns:a16="http://schemas.microsoft.com/office/drawing/2014/main" id="{DA2DE906-0345-4110-AAED-9B30CB56D132}"/>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54429" y="3571351"/>
              <a:ext cx="1738225" cy="1831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36286</xdr:colOff>
      <xdr:row>31</xdr:row>
      <xdr:rowOff>90714</xdr:rowOff>
    </xdr:from>
    <xdr:to>
      <xdr:col>1</xdr:col>
      <xdr:colOff>1514231</xdr:colOff>
      <xdr:row>40</xdr:row>
      <xdr:rowOff>73370</xdr:rowOff>
    </xdr:to>
    <mc:AlternateContent xmlns:mc="http://schemas.openxmlformats.org/markup-compatibility/2006" xmlns:a14="http://schemas.microsoft.com/office/drawing/2010/main">
      <mc:Choice Requires="a14">
        <xdr:graphicFrame macro="">
          <xdr:nvGraphicFramePr>
            <xdr:cNvPr id="29" name="Gender Value">
              <a:extLst>
                <a:ext uri="{FF2B5EF4-FFF2-40B4-BE49-F238E27FC236}">
                  <a16:creationId xmlns:a16="http://schemas.microsoft.com/office/drawing/2014/main" id="{FF90B0AE-E62A-4572-8BA9-32C130A784F1}"/>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36286" y="5541945"/>
              <a:ext cx="1731945" cy="15652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37.519587847222" createdVersion="8" refreshedVersion="8" minRefreshableVersion="3" recordCount="2400" xr:uid="{6A389B03-0FD8-43D1-BC97-F7AD402594B0}">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8690817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E53C5C-05BC-4D9E-ACF0-A2BC6D7B499C}"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53:K5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3">
    <chartFormat chart="4" format="0" series="1">
      <pivotArea type="data" outline="0" fieldPosition="0">
        <references count="2">
          <reference field="4294967294" count="1" selected="0">
            <x v="0"/>
          </reference>
          <reference field="14" count="1" selected="0">
            <x v="0"/>
          </reference>
        </references>
      </pivotArea>
    </chartFormat>
    <chartFormat chart="4" format="1" series="1">
      <pivotArea type="data" outline="0" fieldPosition="0">
        <references count="2">
          <reference field="4294967294" count="1" selected="0">
            <x v="0"/>
          </reference>
          <reference field="14" count="1" selected="0">
            <x v="1"/>
          </reference>
        </references>
      </pivotArea>
    </chartFormat>
    <chartFormat chart="4" format="2" series="1">
      <pivotArea type="data" outline="0" fieldPosition="0">
        <references count="2">
          <reference field="4294967294" count="1" selected="0">
            <x v="0"/>
          </reference>
          <reference field="14" count="1" selected="0">
            <x v="2"/>
          </reference>
        </references>
      </pivotArea>
    </chartFormat>
    <chartFormat chart="4" format="3" series="1">
      <pivotArea type="data" outline="0" fieldPosition="0">
        <references count="2">
          <reference field="4294967294" count="1" selected="0">
            <x v="0"/>
          </reference>
          <reference field="14" count="1" selected="0">
            <x v="3"/>
          </reference>
        </references>
      </pivotArea>
    </chartFormat>
    <chartFormat chart="7" format="8" series="1">
      <pivotArea type="data" outline="0" fieldPosition="0">
        <references count="2">
          <reference field="4294967294" count="1" selected="0">
            <x v="0"/>
          </reference>
          <reference field="14" count="1" selected="0">
            <x v="0"/>
          </reference>
        </references>
      </pivotArea>
    </chartFormat>
    <chartFormat chart="7" format="9" series="1">
      <pivotArea type="data" outline="0" fieldPosition="0">
        <references count="2">
          <reference field="4294967294" count="1" selected="0">
            <x v="0"/>
          </reference>
          <reference field="14" count="1" selected="0">
            <x v="1"/>
          </reference>
        </references>
      </pivotArea>
    </chartFormat>
    <chartFormat chart="7" format="10" series="1">
      <pivotArea type="data" outline="0" fieldPosition="0">
        <references count="2">
          <reference field="4294967294" count="1" selected="0">
            <x v="0"/>
          </reference>
          <reference field="14" count="1" selected="0">
            <x v="2"/>
          </reference>
        </references>
      </pivotArea>
    </chartFormat>
    <chartFormat chart="7" format="11" series="1">
      <pivotArea type="data" outline="0" fieldPosition="0">
        <references count="2">
          <reference field="4294967294" count="1" selected="0">
            <x v="0"/>
          </reference>
          <reference field="14" count="1" selected="0">
            <x v="3"/>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4" count="1" selected="0">
            <x v="0"/>
          </reference>
        </references>
      </pivotArea>
    </chartFormat>
    <chartFormat chart="18" format="8">
      <pivotArea type="data" outline="0" fieldPosition="0">
        <references count="2">
          <reference field="4294967294" count="1" selected="0">
            <x v="0"/>
          </reference>
          <reference field="14" count="1" selected="0">
            <x v="1"/>
          </reference>
        </references>
      </pivotArea>
    </chartFormat>
    <chartFormat chart="18" format="9">
      <pivotArea type="data" outline="0" fieldPosition="0">
        <references count="2">
          <reference field="4294967294" count="1" selected="0">
            <x v="0"/>
          </reference>
          <reference field="14" count="1" selected="0">
            <x v="2"/>
          </reference>
        </references>
      </pivotArea>
    </chartFormat>
    <chartFormat chart="18"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01D189-80E7-454B-A14F-449E0EA54551}" name="prod qty pvt"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53:G7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7" format="8" series="1">
      <pivotArea type="data" outline="0" fieldPosition="0">
        <references count="2">
          <reference field="4294967294" count="1" selected="0">
            <x v="0"/>
          </reference>
          <reference field="14" count="1" selected="0">
            <x v="0"/>
          </reference>
        </references>
      </pivotArea>
    </chartFormat>
    <chartFormat chart="7" format="9" series="1">
      <pivotArea type="data" outline="0" fieldPosition="0">
        <references count="2">
          <reference field="4294967294" count="1" selected="0">
            <x v="0"/>
          </reference>
          <reference field="14" count="1" selected="0">
            <x v="1"/>
          </reference>
        </references>
      </pivotArea>
    </chartFormat>
    <chartFormat chart="7" format="10" series="1">
      <pivotArea type="data" outline="0" fieldPosition="0">
        <references count="2">
          <reference field="4294967294" count="1" selected="0">
            <x v="0"/>
          </reference>
          <reference field="14" count="1" selected="0">
            <x v="2"/>
          </reference>
        </references>
      </pivotArea>
    </chartFormat>
    <chartFormat chart="7"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C046B6-9B57-42E4-8325-2161311F3681}"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G33"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FD7BCF-B5EE-4C76-B415-817D83126C45}"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62:H167"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3">
    <chartFormat chart="1" format="0" series="1">
      <pivotArea type="data" outline="0" fieldPosition="0">
        <references count="2">
          <reference field="4294967294" count="1" selected="0">
            <x v="0"/>
          </reference>
          <reference field="17" count="1" selected="0">
            <x v="1"/>
          </reference>
        </references>
      </pivotArea>
    </chartFormat>
    <chartFormat chart="1" format="1" series="1">
      <pivotArea type="data" outline="0" fieldPosition="0">
        <references count="2">
          <reference field="4294967294" count="1" selected="0">
            <x v="0"/>
          </reference>
          <reference field="17" count="1" selected="0">
            <x v="2"/>
          </reference>
        </references>
      </pivotArea>
    </chartFormat>
    <chartFormat chart="1" format="2" series="1">
      <pivotArea type="data" outline="0" fieldPosition="0">
        <references count="2">
          <reference field="4294967294" count="1" selected="0">
            <x v="0"/>
          </reference>
          <reference field="17" count="1" selected="0">
            <x v="3"/>
          </reference>
        </references>
      </pivotArea>
    </chartFormat>
    <chartFormat chart="1" format="3" series="1">
      <pivotArea type="data" outline="0" fieldPosition="0">
        <references count="2">
          <reference field="4294967294" count="1" selected="0">
            <x v="0"/>
          </reference>
          <reference field="9" count="1" selected="0">
            <x v="3"/>
          </reference>
        </references>
      </pivotArea>
    </chartFormat>
    <chartFormat chart="1" format="4" series="1">
      <pivotArea type="data" outline="0" fieldPosition="0">
        <references count="2">
          <reference field="4294967294" count="1" selected="0">
            <x v="0"/>
          </reference>
          <reference field="9" count="1" selected="0">
            <x v="4"/>
          </reference>
        </references>
      </pivotArea>
    </chartFormat>
    <chartFormat chart="1" format="5" series="1">
      <pivotArea type="data" outline="0" fieldPosition="0">
        <references count="2">
          <reference field="4294967294" count="1" selected="0">
            <x v="0"/>
          </reference>
          <reference field="9" count="1" selected="0">
            <x v="0"/>
          </reference>
        </references>
      </pivotArea>
    </chartFormat>
    <chartFormat chart="1" format="6" series="1">
      <pivotArea type="data" outline="0" fieldPosition="0">
        <references count="2">
          <reference field="4294967294" count="1" selected="0">
            <x v="0"/>
          </reference>
          <reference field="9" count="1" selected="0">
            <x v="1"/>
          </reference>
        </references>
      </pivotArea>
    </chartFormat>
    <chartFormat chart="1" format="7" series="1">
      <pivotArea type="data" outline="0" fieldPosition="0">
        <references count="2">
          <reference field="4294967294" count="1" selected="0">
            <x v="0"/>
          </reference>
          <reference field="9" count="1" selected="0">
            <x v="2"/>
          </reference>
        </references>
      </pivotArea>
    </chartFormat>
    <chartFormat chart="3" format="13" series="1">
      <pivotArea type="data" outline="0" fieldPosition="0">
        <references count="2">
          <reference field="4294967294" count="1" selected="0">
            <x v="0"/>
          </reference>
          <reference field="9" count="1" selected="0">
            <x v="0"/>
          </reference>
        </references>
      </pivotArea>
    </chartFormat>
    <chartFormat chart="3" format="14" series="1">
      <pivotArea type="data" outline="0" fieldPosition="0">
        <references count="2">
          <reference field="4294967294" count="1" selected="0">
            <x v="0"/>
          </reference>
          <reference field="9" count="1" selected="0">
            <x v="1"/>
          </reference>
        </references>
      </pivotArea>
    </chartFormat>
    <chartFormat chart="3" format="15" series="1">
      <pivotArea type="data" outline="0" fieldPosition="0">
        <references count="2">
          <reference field="4294967294" count="1" selected="0">
            <x v="0"/>
          </reference>
          <reference field="9" count="1" selected="0">
            <x v="2"/>
          </reference>
        </references>
      </pivotArea>
    </chartFormat>
    <chartFormat chart="3" format="16" series="1">
      <pivotArea type="data" outline="0" fieldPosition="0">
        <references count="2">
          <reference field="4294967294" count="1" selected="0">
            <x v="0"/>
          </reference>
          <reference field="9" count="1" selected="0">
            <x v="3"/>
          </reference>
        </references>
      </pivotArea>
    </chartFormat>
    <chartFormat chart="3"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E2701C-49A3-4FAA-B4EB-AABE90C8E9B0}" name="ship pvt"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41:C157"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CAF707-BF68-4B0A-813B-5A0578DB3354}" name="trend 13w pvt"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9:D23"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D67F89-F284-40BE-9CCE-2BC814385B6C}" name="map q and a pvt"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B78:E136"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D412AA-6EAE-4D42-9348-307C82E04058}" name="summary pvt" cacheId="13"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3"/>
    <dataField name="Average of Days to Deliver" fld="12"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CE8238-2C3D-4843-B7B4-B7A87D7C388E}" name="order qty pvt"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38:C46"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name="6-10" axis="axisRow" showAll="0">
      <items count="8">
        <item x="0"/>
        <item x="1"/>
        <item x="2"/>
        <item x="4"/>
        <item x="3"/>
        <item n="6-10" sd="0" x="5"/>
        <item n="more than 10"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5"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6C48410C-46C6-4C53-A6FA-085EAE8A79FE}" sourceName="Order Mode">
  <pivotTables>
    <pivotTable tabId="5" name="PivotTable9"/>
    <pivotTable tabId="5" name="map q and a pvt"/>
    <pivotTable tabId="5" name="order qty pvt"/>
    <pivotTable tabId="5" name="prod qty pvt"/>
    <pivotTable tabId="5" name="ship pvt"/>
    <pivotTable tabId="5" name="summary pvt"/>
    <pivotTable tabId="5" name="trend 13w pvt"/>
  </pivotTables>
  <data>
    <tabular pivotCacheId="869081772">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FEA35A94-3C60-427C-9FCC-49447B4C5572}" sourceName="Gender Value">
  <pivotTables>
    <pivotTable tabId="5" name="PivotTable9"/>
    <pivotTable tabId="5" name="order qty pvt"/>
    <pivotTable tabId="5" name="ship pvt"/>
    <pivotTable tabId="5" name="summary pvt"/>
    <pivotTable tabId="5" name="trend 13w pvt"/>
    <pivotTable tabId="5" name="map q and a pvt"/>
  </pivotTables>
  <data>
    <tabular pivotCacheId="869081772">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129B9B17-468F-4915-941F-E784B0FFD021}" cache="Slicer_Order_Mode" caption="Order Mode" rowHeight="251883"/>
  <slicer name="Gender Value" xr10:uid="{8BF2B333-1B18-4631-9385-6CEF3712355F}" cache="Slicer_Gender_Value" caption="Gender Valu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E5F3B-6886-4FDC-BE06-A125FA363BE0}">
  <dimension ref="A3:Q167"/>
  <sheetViews>
    <sheetView tabSelected="1" topLeftCell="B55" zoomScale="74" zoomScaleNormal="74" workbookViewId="0">
      <selection activeCell="Q77" sqref="Q77:Q78"/>
    </sheetView>
  </sheetViews>
  <sheetFormatPr defaultRowHeight="13.5" x14ac:dyDescent="0.25"/>
  <cols>
    <col min="1" max="1" width="13.08203125" bestFit="1" customWidth="1"/>
    <col min="2" max="2" width="13.33203125" bestFit="1" customWidth="1"/>
    <col min="3" max="3" width="21.6640625" bestFit="1" customWidth="1"/>
    <col min="4" max="4" width="14.83203125" bestFit="1" customWidth="1"/>
    <col min="5" max="5" width="14.4140625" bestFit="1" customWidth="1"/>
    <col min="6" max="6" width="5" bestFit="1" customWidth="1"/>
    <col min="7" max="7" width="4" bestFit="1" customWidth="1"/>
    <col min="8" max="8" width="11.08203125" bestFit="1" customWidth="1"/>
    <col min="9" max="10" width="12.83203125" customWidth="1"/>
    <col min="11" max="11" width="14.25" customWidth="1"/>
    <col min="12" max="14" width="8.75" customWidth="1"/>
    <col min="15" max="15" width="13.5" customWidth="1"/>
    <col min="16" max="16" width="19.25" customWidth="1"/>
    <col min="17" max="17" width="12.9140625" customWidth="1"/>
    <col min="18" max="33" width="8.75" customWidth="1"/>
    <col min="34" max="42" width="8.1640625" customWidth="1"/>
    <col min="43" max="61" width="9.1640625" customWidth="1"/>
    <col min="62" max="70" width="8.1640625" customWidth="1"/>
    <col min="71" max="90" width="9.1640625" customWidth="1"/>
    <col min="91" max="91" width="10.33203125" customWidth="1"/>
  </cols>
  <sheetData>
    <row r="3" spans="1:12" x14ac:dyDescent="0.25">
      <c r="A3" t="s">
        <v>2518</v>
      </c>
      <c r="B3" t="s">
        <v>2520</v>
      </c>
      <c r="C3" t="s">
        <v>2519</v>
      </c>
      <c r="D3" t="s">
        <v>2521</v>
      </c>
      <c r="E3" t="s">
        <v>2522</v>
      </c>
      <c r="H3" t="s">
        <v>2523</v>
      </c>
    </row>
    <row r="4" spans="1:12" x14ac:dyDescent="0.25">
      <c r="A4" s="11">
        <v>2400</v>
      </c>
      <c r="B4" s="11">
        <v>11997</v>
      </c>
      <c r="C4" s="11">
        <v>649019.80000000144</v>
      </c>
      <c r="D4" s="11">
        <v>3.9620833333333332</v>
      </c>
      <c r="E4" s="11">
        <v>2.3424999999999998</v>
      </c>
      <c r="H4" t="s">
        <v>2524</v>
      </c>
      <c r="I4" t="s">
        <v>2525</v>
      </c>
      <c r="J4" t="s">
        <v>2529</v>
      </c>
      <c r="K4" t="s">
        <v>2526</v>
      </c>
      <c r="L4" t="s">
        <v>2527</v>
      </c>
    </row>
    <row r="5" spans="1:12" x14ac:dyDescent="0.25">
      <c r="H5" t="str">
        <f>TEXT(A4,"#,##")</f>
        <v>2,400</v>
      </c>
      <c r="I5" t="str">
        <f t="shared" ref="I5" si="0">TEXT(B4,"#,##")</f>
        <v>11,997</v>
      </c>
      <c r="J5" t="str">
        <f>TEXT(C4,"#,##,.0k")</f>
        <v>649.0k</v>
      </c>
      <c r="K5" t="str">
        <f>TEXT(D4,"0.0")</f>
        <v>4.0</v>
      </c>
      <c r="L5" t="str">
        <f>TEXT(E4,"0.0")</f>
        <v>2.3</v>
      </c>
    </row>
    <row r="9" spans="1:12" x14ac:dyDescent="0.25">
      <c r="B9" s="6" t="s">
        <v>2530</v>
      </c>
      <c r="C9" t="s">
        <v>2520</v>
      </c>
      <c r="D9" t="s">
        <v>2519</v>
      </c>
    </row>
    <row r="10" spans="1:12" x14ac:dyDescent="0.25">
      <c r="B10" s="5">
        <v>1</v>
      </c>
      <c r="C10" s="11">
        <v>546</v>
      </c>
      <c r="D10" s="7">
        <v>32413.300000000003</v>
      </c>
    </row>
    <row r="11" spans="1:12" x14ac:dyDescent="0.25">
      <c r="B11" s="5">
        <v>2</v>
      </c>
      <c r="C11" s="11">
        <v>905</v>
      </c>
      <c r="D11" s="7">
        <v>49562.999999999993</v>
      </c>
    </row>
    <row r="12" spans="1:12" x14ac:dyDescent="0.25">
      <c r="B12" s="5">
        <v>3</v>
      </c>
      <c r="C12" s="11">
        <v>796</v>
      </c>
      <c r="D12" s="7">
        <v>41700.400000000016</v>
      </c>
    </row>
    <row r="13" spans="1:12" x14ac:dyDescent="0.25">
      <c r="B13" s="5">
        <v>4</v>
      </c>
      <c r="C13" s="11">
        <v>913</v>
      </c>
      <c r="D13" s="7">
        <v>46782.599999999984</v>
      </c>
    </row>
    <row r="14" spans="1:12" x14ac:dyDescent="0.25">
      <c r="B14" s="5">
        <v>5</v>
      </c>
      <c r="C14" s="11">
        <v>844</v>
      </c>
      <c r="D14" s="7">
        <v>42676.100000000006</v>
      </c>
    </row>
    <row r="15" spans="1:12" x14ac:dyDescent="0.25">
      <c r="B15" s="5">
        <v>6</v>
      </c>
      <c r="C15" s="11">
        <v>1202</v>
      </c>
      <c r="D15" s="7">
        <v>62910.7</v>
      </c>
    </row>
    <row r="16" spans="1:12" x14ac:dyDescent="0.25">
      <c r="B16" s="5">
        <v>7</v>
      </c>
      <c r="C16" s="11">
        <v>935</v>
      </c>
      <c r="D16" s="7">
        <v>50332.200000000004</v>
      </c>
    </row>
    <row r="17" spans="2:13" x14ac:dyDescent="0.25">
      <c r="B17" s="5">
        <v>8</v>
      </c>
      <c r="C17" s="11">
        <v>1128</v>
      </c>
      <c r="D17" s="7">
        <v>58760.599999999977</v>
      </c>
    </row>
    <row r="18" spans="2:13" x14ac:dyDescent="0.25">
      <c r="B18" s="5">
        <v>9</v>
      </c>
      <c r="C18" s="11">
        <v>1007</v>
      </c>
      <c r="D18" s="7">
        <v>52017.299999999996</v>
      </c>
    </row>
    <row r="19" spans="2:13" x14ac:dyDescent="0.25">
      <c r="B19" s="5">
        <v>10</v>
      </c>
      <c r="C19" s="11">
        <v>1128</v>
      </c>
      <c r="D19" s="7">
        <v>64915.700000000033</v>
      </c>
    </row>
    <row r="20" spans="2:13" x14ac:dyDescent="0.25">
      <c r="B20" s="5">
        <v>11</v>
      </c>
      <c r="C20" s="11">
        <v>861</v>
      </c>
      <c r="D20" s="7">
        <v>45943.80000000001</v>
      </c>
    </row>
    <row r="21" spans="2:13" x14ac:dyDescent="0.25">
      <c r="B21" s="5">
        <v>12</v>
      </c>
      <c r="C21" s="11">
        <v>944</v>
      </c>
      <c r="D21" s="7">
        <v>55077.900000000031</v>
      </c>
    </row>
    <row r="22" spans="2:13" x14ac:dyDescent="0.25">
      <c r="B22" s="5">
        <v>13</v>
      </c>
      <c r="C22" s="11">
        <v>788</v>
      </c>
      <c r="D22" s="7">
        <v>45926.19999999999</v>
      </c>
    </row>
    <row r="23" spans="2:13" x14ac:dyDescent="0.25">
      <c r="B23" s="5" t="s">
        <v>2528</v>
      </c>
      <c r="C23" s="11">
        <v>11997</v>
      </c>
      <c r="D23" s="7">
        <v>649019.79999999993</v>
      </c>
    </row>
    <row r="25" spans="2:13" x14ac:dyDescent="0.25">
      <c r="K25" t="s">
        <v>2536</v>
      </c>
    </row>
    <row r="26" spans="2:13" ht="14" thickBot="1" x14ac:dyDescent="0.3">
      <c r="B26" s="6" t="s">
        <v>2519</v>
      </c>
      <c r="C26" s="6" t="s">
        <v>2531</v>
      </c>
    </row>
    <row r="27" spans="2:13" ht="14.5" thickTop="1" thickBot="1" x14ac:dyDescent="0.3">
      <c r="B27" s="6" t="s">
        <v>2530</v>
      </c>
      <c r="C27" t="s">
        <v>2532</v>
      </c>
      <c r="D27" t="s">
        <v>2533</v>
      </c>
      <c r="E27" t="s">
        <v>2534</v>
      </c>
      <c r="F27" t="s">
        <v>2535</v>
      </c>
      <c r="G27" t="s">
        <v>2528</v>
      </c>
      <c r="I27" s="9"/>
      <c r="J27" s="9" t="str">
        <f>C27</f>
        <v>Female</v>
      </c>
      <c r="K27" s="9" t="str">
        <f t="shared" ref="K27:M27" si="1">D27</f>
        <v>Male</v>
      </c>
      <c r="L27" s="9" t="str">
        <f t="shared" si="1"/>
        <v>Other</v>
      </c>
      <c r="M27" s="9" t="str">
        <f t="shared" si="1"/>
        <v>Unknown</v>
      </c>
    </row>
    <row r="28" spans="2:13" ht="14.5" thickTop="1" thickBot="1" x14ac:dyDescent="0.3">
      <c r="B28" s="5" t="s">
        <v>18</v>
      </c>
      <c r="C28" s="8">
        <v>0.18961825201634841</v>
      </c>
      <c r="D28" s="8">
        <v>0.12262322351336576</v>
      </c>
      <c r="E28" s="8">
        <v>1.060537752469185E-2</v>
      </c>
      <c r="F28" s="8">
        <v>3.0599220547662797E-2</v>
      </c>
      <c r="G28" s="8">
        <v>0.35344607360206881</v>
      </c>
      <c r="I28" s="9" t="str">
        <f>B28</f>
        <v>App</v>
      </c>
      <c r="J28" s="10">
        <f t="shared" ref="J28:M32" si="2">C28</f>
        <v>0.18961825201634841</v>
      </c>
      <c r="K28" s="10">
        <f t="shared" si="2"/>
        <v>0.12262322351336576</v>
      </c>
      <c r="L28" s="10">
        <f t="shared" si="2"/>
        <v>1.060537752469185E-2</v>
      </c>
      <c r="M28" s="10">
        <f t="shared" si="2"/>
        <v>3.0599220547662797E-2</v>
      </c>
    </row>
    <row r="29" spans="2:13" ht="14.5" thickTop="1" thickBot="1" x14ac:dyDescent="0.3">
      <c r="B29" s="5" t="s">
        <v>51</v>
      </c>
      <c r="C29" s="8">
        <v>5.0283982091147303E-2</v>
      </c>
      <c r="D29" s="8">
        <v>4.3060781812819873E-2</v>
      </c>
      <c r="E29" s="8">
        <v>1.5320025675641944E-3</v>
      </c>
      <c r="F29" s="8">
        <v>1.7794988689097006E-2</v>
      </c>
      <c r="G29" s="8">
        <v>0.11267175516062837</v>
      </c>
      <c r="I29" s="9" t="str">
        <f t="shared" ref="I29:I32" si="3">B29</f>
        <v>Instagram</v>
      </c>
      <c r="J29" s="10">
        <f t="shared" si="2"/>
        <v>5.0283982091147303E-2</v>
      </c>
      <c r="K29" s="10">
        <f t="shared" si="2"/>
        <v>4.3060781812819873E-2</v>
      </c>
      <c r="L29" s="10">
        <f t="shared" si="2"/>
        <v>1.5320025675641944E-3</v>
      </c>
      <c r="M29" s="10">
        <f t="shared" si="2"/>
        <v>1.7794988689097006E-2</v>
      </c>
    </row>
    <row r="30" spans="2:13" ht="14.5" thickTop="1" thickBot="1" x14ac:dyDescent="0.3">
      <c r="B30" s="5" t="s">
        <v>70</v>
      </c>
      <c r="C30" s="8">
        <v>6.3496059750411282E-2</v>
      </c>
      <c r="D30" s="8">
        <v>4.6071629863988765E-2</v>
      </c>
      <c r="E30" s="8">
        <v>2.306247051322625E-3</v>
      </c>
      <c r="F30" s="8">
        <v>3.8927934093844286E-3</v>
      </c>
      <c r="G30" s="8">
        <v>0.11576673007510711</v>
      </c>
      <c r="I30" s="9" t="str">
        <f t="shared" si="3"/>
        <v>Partner App</v>
      </c>
      <c r="J30" s="10">
        <f t="shared" si="2"/>
        <v>6.3496059750411282E-2</v>
      </c>
      <c r="K30" s="10">
        <f t="shared" si="2"/>
        <v>4.6071629863988765E-2</v>
      </c>
      <c r="L30" s="10">
        <f t="shared" si="2"/>
        <v>2.306247051322625E-3</v>
      </c>
      <c r="M30" s="10">
        <f t="shared" si="2"/>
        <v>3.8927934093844286E-3</v>
      </c>
    </row>
    <row r="31" spans="2:13" ht="14.5" thickTop="1" thickBot="1" x14ac:dyDescent="0.3">
      <c r="B31" s="5" t="s">
        <v>40</v>
      </c>
      <c r="C31" s="8">
        <v>9.6337892927149532E-2</v>
      </c>
      <c r="D31" s="8">
        <v>6.7920115842382611E-2</v>
      </c>
      <c r="E31" s="8">
        <v>5.4979832664581261E-3</v>
      </c>
      <c r="F31" s="8">
        <v>1.2933041488102518E-2</v>
      </c>
      <c r="G31" s="8">
        <v>0.1826890335240928</v>
      </c>
      <c r="I31" s="9" t="str">
        <f t="shared" si="3"/>
        <v>Target.com</v>
      </c>
      <c r="J31" s="10">
        <f t="shared" si="2"/>
        <v>9.6337892927149532E-2</v>
      </c>
      <c r="K31" s="10">
        <f t="shared" si="2"/>
        <v>6.7920115842382611E-2</v>
      </c>
      <c r="L31" s="10">
        <f t="shared" si="2"/>
        <v>5.4979832664581261E-3</v>
      </c>
      <c r="M31" s="10">
        <f t="shared" si="2"/>
        <v>1.2933041488102518E-2</v>
      </c>
    </row>
    <row r="32" spans="2:13" ht="14.5" thickTop="1" thickBot="1" x14ac:dyDescent="0.3">
      <c r="B32" s="5" t="s">
        <v>35</v>
      </c>
      <c r="C32" s="8">
        <v>0.12522098709469262</v>
      </c>
      <c r="D32" s="8">
        <v>9.1492740283116228E-2</v>
      </c>
      <c r="E32" s="8">
        <v>6.3042760790965081E-3</v>
      </c>
      <c r="F32" s="8">
        <v>1.2408404181197551E-2</v>
      </c>
      <c r="G32" s="8">
        <v>0.23542640763810288</v>
      </c>
      <c r="I32" s="9" t="str">
        <f t="shared" si="3"/>
        <v>Website</v>
      </c>
      <c r="J32" s="10">
        <f t="shared" si="2"/>
        <v>0.12522098709469262</v>
      </c>
      <c r="K32" s="10">
        <f t="shared" si="2"/>
        <v>9.1492740283116228E-2</v>
      </c>
      <c r="L32" s="10">
        <f t="shared" si="2"/>
        <v>6.3042760790965081E-3</v>
      </c>
      <c r="M32" s="10">
        <f t="shared" si="2"/>
        <v>1.2408404181197551E-2</v>
      </c>
    </row>
    <row r="33" spans="2:13" ht="14.5" thickTop="1" thickBot="1" x14ac:dyDescent="0.3">
      <c r="B33" s="5" t="s">
        <v>2528</v>
      </c>
      <c r="C33" s="8">
        <v>0.52495717387974916</v>
      </c>
      <c r="D33" s="8">
        <v>0.3711684913156732</v>
      </c>
      <c r="E33" s="8">
        <v>2.6245886489133303E-2</v>
      </c>
      <c r="F33" s="8">
        <v>7.7628448315444312E-2</v>
      </c>
      <c r="G33" s="8">
        <v>1</v>
      </c>
      <c r="I33" s="9"/>
      <c r="J33" s="10"/>
      <c r="K33" s="10"/>
      <c r="L33" s="10"/>
      <c r="M33" s="10"/>
    </row>
    <row r="34" spans="2:13" ht="14" thickTop="1" x14ac:dyDescent="0.25"/>
    <row r="36" spans="2:13" x14ac:dyDescent="0.25">
      <c r="B36" s="5" t="s">
        <v>2537</v>
      </c>
    </row>
    <row r="38" spans="2:13" x14ac:dyDescent="0.25">
      <c r="B38" s="6" t="s">
        <v>2530</v>
      </c>
      <c r="C38" t="s">
        <v>2518</v>
      </c>
    </row>
    <row r="39" spans="2:13" x14ac:dyDescent="0.25">
      <c r="B39" s="5">
        <v>1</v>
      </c>
      <c r="C39" s="11">
        <v>397</v>
      </c>
    </row>
    <row r="40" spans="2:13" x14ac:dyDescent="0.25">
      <c r="B40" s="5">
        <v>2</v>
      </c>
      <c r="C40" s="11">
        <v>540</v>
      </c>
    </row>
    <row r="41" spans="2:13" x14ac:dyDescent="0.25">
      <c r="B41" s="5">
        <v>3</v>
      </c>
      <c r="C41" s="11">
        <v>375</v>
      </c>
    </row>
    <row r="42" spans="2:13" x14ac:dyDescent="0.25">
      <c r="B42" s="5">
        <v>4</v>
      </c>
      <c r="C42" s="11">
        <v>246</v>
      </c>
    </row>
    <row r="43" spans="2:13" x14ac:dyDescent="0.25">
      <c r="B43" s="5">
        <v>5</v>
      </c>
      <c r="C43" s="11">
        <v>195</v>
      </c>
    </row>
    <row r="44" spans="2:13" x14ac:dyDescent="0.25">
      <c r="B44" s="5" t="s">
        <v>2538</v>
      </c>
      <c r="C44" s="11">
        <v>414</v>
      </c>
    </row>
    <row r="45" spans="2:13" x14ac:dyDescent="0.25">
      <c r="B45" s="5" t="s">
        <v>2539</v>
      </c>
      <c r="C45" s="11">
        <v>233</v>
      </c>
    </row>
    <row r="46" spans="2:13" x14ac:dyDescent="0.25">
      <c r="B46" s="5" t="s">
        <v>2528</v>
      </c>
      <c r="C46" s="11">
        <v>2400</v>
      </c>
    </row>
    <row r="51" spans="2:11" x14ac:dyDescent="0.25">
      <c r="B51" t="s">
        <v>2540</v>
      </c>
    </row>
    <row r="53" spans="2:11" x14ac:dyDescent="0.25">
      <c r="B53" s="6" t="s">
        <v>2520</v>
      </c>
      <c r="C53" s="6" t="s">
        <v>2531</v>
      </c>
      <c r="J53" s="6" t="s">
        <v>2530</v>
      </c>
      <c r="K53" t="s">
        <v>2520</v>
      </c>
    </row>
    <row r="54" spans="2:11" x14ac:dyDescent="0.25">
      <c r="B54" s="6" t="s">
        <v>2530</v>
      </c>
      <c r="C54" t="s">
        <v>2532</v>
      </c>
      <c r="D54" t="s">
        <v>2533</v>
      </c>
      <c r="E54" t="s">
        <v>2534</v>
      </c>
      <c r="F54" t="s">
        <v>2535</v>
      </c>
      <c r="G54" t="s">
        <v>2528</v>
      </c>
      <c r="J54" s="5" t="s">
        <v>2532</v>
      </c>
      <c r="K54">
        <v>6272</v>
      </c>
    </row>
    <row r="55" spans="2:11" x14ac:dyDescent="0.25">
      <c r="B55" s="5" t="s">
        <v>44</v>
      </c>
      <c r="C55" s="11">
        <v>744</v>
      </c>
      <c r="D55" s="11">
        <v>713</v>
      </c>
      <c r="E55" s="11">
        <v>90</v>
      </c>
      <c r="F55" s="11">
        <v>98</v>
      </c>
      <c r="G55" s="11">
        <v>1645</v>
      </c>
      <c r="J55" s="5" t="s">
        <v>2533</v>
      </c>
      <c r="K55">
        <v>4672</v>
      </c>
    </row>
    <row r="56" spans="2:11" x14ac:dyDescent="0.25">
      <c r="B56" s="5" t="s">
        <v>39</v>
      </c>
      <c r="C56" s="11">
        <v>716</v>
      </c>
      <c r="D56" s="11">
        <v>598</v>
      </c>
      <c r="E56" s="11">
        <v>18</v>
      </c>
      <c r="F56" s="11">
        <v>214</v>
      </c>
      <c r="G56" s="11">
        <v>1546</v>
      </c>
      <c r="J56" s="5" t="s">
        <v>2534</v>
      </c>
      <c r="K56">
        <v>317</v>
      </c>
    </row>
    <row r="57" spans="2:11" x14ac:dyDescent="0.25">
      <c r="B57" s="5" t="s">
        <v>26</v>
      </c>
      <c r="C57" s="11">
        <v>627</v>
      </c>
      <c r="D57" s="11">
        <v>393</v>
      </c>
      <c r="E57" s="11">
        <v>29</v>
      </c>
      <c r="F57" s="11">
        <v>137</v>
      </c>
      <c r="G57" s="11">
        <v>1186</v>
      </c>
      <c r="J57" s="5" t="s">
        <v>2535</v>
      </c>
      <c r="K57">
        <v>736</v>
      </c>
    </row>
    <row r="58" spans="2:11" x14ac:dyDescent="0.25">
      <c r="B58" s="5" t="s">
        <v>22</v>
      </c>
      <c r="C58" s="11">
        <v>568</v>
      </c>
      <c r="D58" s="11">
        <v>306</v>
      </c>
      <c r="E58" s="11">
        <v>22</v>
      </c>
      <c r="F58" s="11">
        <v>16</v>
      </c>
      <c r="G58" s="11">
        <v>912</v>
      </c>
      <c r="J58" s="5" t="s">
        <v>2528</v>
      </c>
      <c r="K58">
        <v>11997</v>
      </c>
    </row>
    <row r="59" spans="2:11" x14ac:dyDescent="0.25">
      <c r="B59" s="5" t="s">
        <v>54</v>
      </c>
      <c r="C59" s="11">
        <v>482</v>
      </c>
      <c r="D59" s="11">
        <v>295</v>
      </c>
      <c r="E59" s="11">
        <v>8</v>
      </c>
      <c r="F59" s="11">
        <v>22</v>
      </c>
      <c r="G59" s="11">
        <v>807</v>
      </c>
    </row>
    <row r="60" spans="2:11" x14ac:dyDescent="0.25">
      <c r="B60" s="5" t="s">
        <v>16</v>
      </c>
      <c r="C60" s="11">
        <v>428</v>
      </c>
      <c r="D60" s="11">
        <v>293</v>
      </c>
      <c r="E60" s="11"/>
      <c r="F60" s="11">
        <v>24</v>
      </c>
      <c r="G60" s="11">
        <v>745</v>
      </c>
    </row>
    <row r="61" spans="2:11" x14ac:dyDescent="0.25">
      <c r="B61" s="5" t="s">
        <v>46</v>
      </c>
      <c r="C61" s="11">
        <v>445</v>
      </c>
      <c r="D61" s="11">
        <v>202</v>
      </c>
      <c r="E61" s="11">
        <v>14</v>
      </c>
      <c r="F61" s="11">
        <v>39</v>
      </c>
      <c r="G61" s="11">
        <v>700</v>
      </c>
    </row>
    <row r="62" spans="2:11" x14ac:dyDescent="0.25">
      <c r="B62" s="5" t="s">
        <v>32</v>
      </c>
      <c r="C62" s="11">
        <v>431</v>
      </c>
      <c r="D62" s="11">
        <v>187</v>
      </c>
      <c r="E62" s="11">
        <v>14</v>
      </c>
      <c r="F62" s="11">
        <v>15</v>
      </c>
      <c r="G62" s="11">
        <v>647</v>
      </c>
    </row>
    <row r="63" spans="2:11" x14ac:dyDescent="0.25">
      <c r="B63" s="5" t="s">
        <v>42</v>
      </c>
      <c r="C63" s="11">
        <v>264</v>
      </c>
      <c r="D63" s="11">
        <v>318</v>
      </c>
      <c r="E63" s="11">
        <v>15</v>
      </c>
      <c r="F63" s="11">
        <v>9</v>
      </c>
      <c r="G63" s="11">
        <v>606</v>
      </c>
    </row>
    <row r="64" spans="2:11" x14ac:dyDescent="0.25">
      <c r="B64" s="5" t="s">
        <v>37</v>
      </c>
      <c r="C64" s="11">
        <v>296</v>
      </c>
      <c r="D64" s="11">
        <v>275</v>
      </c>
      <c r="E64" s="11">
        <v>9</v>
      </c>
      <c r="F64" s="11">
        <v>23</v>
      </c>
      <c r="G64" s="11">
        <v>603</v>
      </c>
    </row>
    <row r="65" spans="2:17" x14ac:dyDescent="0.25">
      <c r="B65" s="5" t="s">
        <v>123</v>
      </c>
      <c r="C65" s="11">
        <v>153</v>
      </c>
      <c r="D65" s="11">
        <v>246</v>
      </c>
      <c r="E65" s="11">
        <v>30</v>
      </c>
      <c r="F65" s="11">
        <v>8</v>
      </c>
      <c r="G65" s="11">
        <v>437</v>
      </c>
    </row>
    <row r="66" spans="2:17" x14ac:dyDescent="0.25">
      <c r="B66" s="5" t="s">
        <v>146</v>
      </c>
      <c r="C66" s="11">
        <v>189</v>
      </c>
      <c r="D66" s="11">
        <v>168</v>
      </c>
      <c r="E66" s="11">
        <v>10</v>
      </c>
      <c r="F66" s="11">
        <v>31</v>
      </c>
      <c r="G66" s="11">
        <v>398</v>
      </c>
    </row>
    <row r="67" spans="2:17" x14ac:dyDescent="0.25">
      <c r="B67" s="5" t="s">
        <v>69</v>
      </c>
      <c r="C67" s="11">
        <v>234</v>
      </c>
      <c r="D67" s="11">
        <v>93</v>
      </c>
      <c r="E67" s="11">
        <v>19</v>
      </c>
      <c r="F67" s="11">
        <v>24</v>
      </c>
      <c r="G67" s="11">
        <v>370</v>
      </c>
    </row>
    <row r="68" spans="2:17" x14ac:dyDescent="0.25">
      <c r="B68" s="5" t="s">
        <v>30</v>
      </c>
      <c r="C68" s="11">
        <v>146</v>
      </c>
      <c r="D68" s="11">
        <v>94</v>
      </c>
      <c r="E68" s="11">
        <v>4</v>
      </c>
      <c r="F68" s="11">
        <v>28</v>
      </c>
      <c r="G68" s="11">
        <v>272</v>
      </c>
    </row>
    <row r="69" spans="2:17" x14ac:dyDescent="0.25">
      <c r="B69" s="5" t="s">
        <v>135</v>
      </c>
      <c r="C69" s="11">
        <v>127</v>
      </c>
      <c r="D69" s="11">
        <v>118</v>
      </c>
      <c r="E69" s="11">
        <v>13</v>
      </c>
      <c r="F69" s="11">
        <v>12</v>
      </c>
      <c r="G69" s="11">
        <v>270</v>
      </c>
    </row>
    <row r="70" spans="2:17" x14ac:dyDescent="0.25">
      <c r="B70" s="5" t="s">
        <v>67</v>
      </c>
      <c r="C70" s="11">
        <v>179</v>
      </c>
      <c r="D70" s="11">
        <v>76</v>
      </c>
      <c r="E70" s="11">
        <v>3</v>
      </c>
      <c r="F70" s="11"/>
      <c r="G70" s="11">
        <v>258</v>
      </c>
    </row>
    <row r="71" spans="2:17" x14ac:dyDescent="0.25">
      <c r="B71" s="5" t="s">
        <v>128</v>
      </c>
      <c r="C71" s="11">
        <v>99</v>
      </c>
      <c r="D71" s="11">
        <v>69</v>
      </c>
      <c r="E71" s="11">
        <v>3</v>
      </c>
      <c r="F71" s="11">
        <v>24</v>
      </c>
      <c r="G71" s="11">
        <v>195</v>
      </c>
    </row>
    <row r="72" spans="2:17" x14ac:dyDescent="0.25">
      <c r="B72" s="5" t="s">
        <v>76</v>
      </c>
      <c r="C72" s="11">
        <v>75</v>
      </c>
      <c r="D72" s="11">
        <v>103</v>
      </c>
      <c r="E72" s="11">
        <v>4</v>
      </c>
      <c r="F72" s="11">
        <v>6</v>
      </c>
      <c r="G72" s="11">
        <v>188</v>
      </c>
    </row>
    <row r="73" spans="2:17" x14ac:dyDescent="0.25">
      <c r="B73" s="5" t="s">
        <v>81</v>
      </c>
      <c r="C73" s="11">
        <v>43</v>
      </c>
      <c r="D73" s="11">
        <v>90</v>
      </c>
      <c r="E73" s="11">
        <v>8</v>
      </c>
      <c r="F73" s="11">
        <v>6</v>
      </c>
      <c r="G73" s="11">
        <v>147</v>
      </c>
    </row>
    <row r="74" spans="2:17" x14ac:dyDescent="0.25">
      <c r="B74" s="5" t="s">
        <v>171</v>
      </c>
      <c r="C74" s="11">
        <v>26</v>
      </c>
      <c r="D74" s="11">
        <v>35</v>
      </c>
      <c r="E74" s="11">
        <v>4</v>
      </c>
      <c r="F74" s="11"/>
      <c r="G74" s="11">
        <v>65</v>
      </c>
    </row>
    <row r="75" spans="2:17" x14ac:dyDescent="0.25">
      <c r="B75" s="5" t="s">
        <v>2528</v>
      </c>
      <c r="C75" s="11">
        <v>6272</v>
      </c>
      <c r="D75" s="11">
        <v>4672</v>
      </c>
      <c r="E75" s="11">
        <v>317</v>
      </c>
      <c r="F75" s="11">
        <v>736</v>
      </c>
      <c r="G75" s="11">
        <v>11997</v>
      </c>
    </row>
    <row r="76" spans="2:17" x14ac:dyDescent="0.25">
      <c r="I76" t="s">
        <v>2541</v>
      </c>
      <c r="O76" t="s">
        <v>2542</v>
      </c>
    </row>
    <row r="77" spans="2:17" x14ac:dyDescent="0.25">
      <c r="I77" t="str">
        <f>B78</f>
        <v>State</v>
      </c>
      <c r="J77" t="str">
        <f t="shared" ref="J77:K77" si="4">C78</f>
        <v>County</v>
      </c>
      <c r="K77" t="str">
        <f t="shared" si="4"/>
        <v>Sum of Quantity</v>
      </c>
      <c r="O77" t="str">
        <f>B78</f>
        <v>State</v>
      </c>
      <c r="P77" t="str">
        <f>C78</f>
        <v>County</v>
      </c>
      <c r="Q77" t="s">
        <v>2548</v>
      </c>
    </row>
    <row r="78" spans="2:17" x14ac:dyDescent="0.25">
      <c r="B78" s="6" t="s">
        <v>10</v>
      </c>
      <c r="C78" s="6" t="s">
        <v>11</v>
      </c>
      <c r="D78" t="s">
        <v>2520</v>
      </c>
      <c r="E78" t="s">
        <v>2519</v>
      </c>
      <c r="I78" t="str">
        <f>IF(B79="","",B79)</f>
        <v>California</v>
      </c>
      <c r="J78" t="str">
        <f>IF(C79="","",C79)</f>
        <v>Alameda County</v>
      </c>
      <c r="K78">
        <f>IF(D79="","",D79)</f>
        <v>579</v>
      </c>
      <c r="O78" t="str">
        <f>IF(B79="","",B79)</f>
        <v>California</v>
      </c>
      <c r="P78" t="str">
        <f>IF(C79="","",C79)</f>
        <v>Alameda County</v>
      </c>
      <c r="Q78">
        <f>IF(E79="","",E79)</f>
        <v>31884.999999999996</v>
      </c>
    </row>
    <row r="79" spans="2:17" x14ac:dyDescent="0.25">
      <c r="B79" t="s">
        <v>19</v>
      </c>
      <c r="C79" t="s">
        <v>115</v>
      </c>
      <c r="D79" s="11">
        <v>579</v>
      </c>
      <c r="E79" s="11">
        <v>31884.999999999996</v>
      </c>
      <c r="I79" t="str">
        <f t="shared" ref="I79:I134" si="5">IF(B80="","",B80)</f>
        <v>California</v>
      </c>
      <c r="J79" t="str">
        <f t="shared" ref="J79:J134" si="6">IF(C80="","",C80)</f>
        <v>Alpine County</v>
      </c>
      <c r="K79">
        <f t="shared" ref="K79:K137" si="7">IF(D80="","",D80)</f>
        <v>1</v>
      </c>
      <c r="O79" t="str">
        <f t="shared" ref="O79:P135" si="8">IF(B80="","",B80)</f>
        <v>California</v>
      </c>
      <c r="P79" t="str">
        <f t="shared" si="8"/>
        <v>Alpine County</v>
      </c>
      <c r="Q79">
        <f t="shared" ref="Q79:Q136" si="9">IF(E80="","",E80)</f>
        <v>10.9</v>
      </c>
    </row>
    <row r="80" spans="2:17" x14ac:dyDescent="0.25">
      <c r="B80" t="s">
        <v>19</v>
      </c>
      <c r="C80" t="s">
        <v>20</v>
      </c>
      <c r="D80" s="11">
        <v>1</v>
      </c>
      <c r="E80" s="11">
        <v>10.9</v>
      </c>
      <c r="I80" t="str">
        <f t="shared" si="5"/>
        <v>California</v>
      </c>
      <c r="J80" t="str">
        <f t="shared" si="6"/>
        <v>Amador County</v>
      </c>
      <c r="K80">
        <f t="shared" si="7"/>
        <v>9</v>
      </c>
      <c r="O80" t="str">
        <f t="shared" si="8"/>
        <v>California</v>
      </c>
      <c r="P80" t="str">
        <f t="shared" si="8"/>
        <v>Amador County</v>
      </c>
      <c r="Q80">
        <f t="shared" si="9"/>
        <v>800.3</v>
      </c>
    </row>
    <row r="81" spans="2:17" x14ac:dyDescent="0.25">
      <c r="B81" t="s">
        <v>19</v>
      </c>
      <c r="C81" t="s">
        <v>641</v>
      </c>
      <c r="D81" s="11">
        <v>9</v>
      </c>
      <c r="E81" s="11">
        <v>800.3</v>
      </c>
      <c r="I81" t="str">
        <f t="shared" si="5"/>
        <v>California</v>
      </c>
      <c r="J81" t="str">
        <f t="shared" si="6"/>
        <v>Butte County</v>
      </c>
      <c r="K81">
        <f t="shared" si="7"/>
        <v>35</v>
      </c>
      <c r="O81" t="str">
        <f t="shared" si="8"/>
        <v>California</v>
      </c>
      <c r="P81" t="str">
        <f t="shared" si="8"/>
        <v>Butte County</v>
      </c>
      <c r="Q81">
        <f t="shared" si="9"/>
        <v>1062.5999999999999</v>
      </c>
    </row>
    <row r="82" spans="2:17" x14ac:dyDescent="0.25">
      <c r="B82" t="s">
        <v>19</v>
      </c>
      <c r="C82" t="s">
        <v>967</v>
      </c>
      <c r="D82" s="11">
        <v>35</v>
      </c>
      <c r="E82" s="11">
        <v>1062.5999999999999</v>
      </c>
      <c r="I82" t="str">
        <f t="shared" si="5"/>
        <v>California</v>
      </c>
      <c r="J82" t="str">
        <f t="shared" si="6"/>
        <v>Calaveras County</v>
      </c>
      <c r="K82">
        <f t="shared" si="7"/>
        <v>12</v>
      </c>
      <c r="O82" t="str">
        <f t="shared" si="8"/>
        <v>California</v>
      </c>
      <c r="P82" t="str">
        <f t="shared" si="8"/>
        <v>Calaveras County</v>
      </c>
      <c r="Q82">
        <f t="shared" si="9"/>
        <v>326.20000000000005</v>
      </c>
    </row>
    <row r="83" spans="2:17" x14ac:dyDescent="0.25">
      <c r="B83" t="s">
        <v>19</v>
      </c>
      <c r="C83" t="s">
        <v>84</v>
      </c>
      <c r="D83" s="11">
        <v>12</v>
      </c>
      <c r="E83" s="11">
        <v>326.20000000000005</v>
      </c>
      <c r="I83" t="str">
        <f t="shared" si="5"/>
        <v>California</v>
      </c>
      <c r="J83" t="str">
        <f t="shared" si="6"/>
        <v>Colusa County</v>
      </c>
      <c r="K83">
        <f t="shared" si="7"/>
        <v>4</v>
      </c>
      <c r="O83" t="str">
        <f t="shared" si="8"/>
        <v>California</v>
      </c>
      <c r="P83" t="str">
        <f t="shared" si="8"/>
        <v>Colusa County</v>
      </c>
      <c r="Q83">
        <f t="shared" si="9"/>
        <v>167.5</v>
      </c>
    </row>
    <row r="84" spans="2:17" x14ac:dyDescent="0.25">
      <c r="B84" t="s">
        <v>19</v>
      </c>
      <c r="C84" t="s">
        <v>1383</v>
      </c>
      <c r="D84" s="11">
        <v>4</v>
      </c>
      <c r="E84" s="11">
        <v>167.5</v>
      </c>
      <c r="I84" t="str">
        <f t="shared" si="5"/>
        <v>California</v>
      </c>
      <c r="J84" t="str">
        <f t="shared" si="6"/>
        <v>Contra Costa County</v>
      </c>
      <c r="K84">
        <f t="shared" si="7"/>
        <v>341</v>
      </c>
      <c r="O84" t="str">
        <f t="shared" si="8"/>
        <v>California</v>
      </c>
      <c r="P84" t="str">
        <f t="shared" si="8"/>
        <v>Contra Costa County</v>
      </c>
      <c r="Q84">
        <f t="shared" si="9"/>
        <v>16168.7</v>
      </c>
    </row>
    <row r="85" spans="2:17" x14ac:dyDescent="0.25">
      <c r="B85" t="s">
        <v>19</v>
      </c>
      <c r="C85" t="s">
        <v>24</v>
      </c>
      <c r="D85" s="11">
        <v>341</v>
      </c>
      <c r="E85" s="11">
        <v>16168.7</v>
      </c>
      <c r="I85" t="str">
        <f t="shared" si="5"/>
        <v>California</v>
      </c>
      <c r="J85" t="str">
        <f t="shared" si="6"/>
        <v>Del Norte County</v>
      </c>
      <c r="K85">
        <f t="shared" si="7"/>
        <v>13</v>
      </c>
      <c r="O85" t="str">
        <f t="shared" si="8"/>
        <v>California</v>
      </c>
      <c r="P85" t="str">
        <f t="shared" si="8"/>
        <v>Del Norte County</v>
      </c>
      <c r="Q85">
        <f t="shared" si="9"/>
        <v>322.40000000000003</v>
      </c>
    </row>
    <row r="86" spans="2:17" x14ac:dyDescent="0.25">
      <c r="B86" t="s">
        <v>19</v>
      </c>
      <c r="C86" t="s">
        <v>2204</v>
      </c>
      <c r="D86" s="11">
        <v>13</v>
      </c>
      <c r="E86" s="11">
        <v>322.40000000000003</v>
      </c>
      <c r="I86" t="str">
        <f t="shared" si="5"/>
        <v>California</v>
      </c>
      <c r="J86" t="str">
        <f t="shared" si="6"/>
        <v>El Dorado County</v>
      </c>
      <c r="K86">
        <f t="shared" si="7"/>
        <v>31</v>
      </c>
      <c r="O86" t="str">
        <f t="shared" si="8"/>
        <v>California</v>
      </c>
      <c r="P86" t="str">
        <f t="shared" si="8"/>
        <v>El Dorado County</v>
      </c>
      <c r="Q86">
        <f t="shared" si="9"/>
        <v>2092.8000000000002</v>
      </c>
    </row>
    <row r="87" spans="2:17" x14ac:dyDescent="0.25">
      <c r="B87" t="s">
        <v>19</v>
      </c>
      <c r="C87" t="s">
        <v>437</v>
      </c>
      <c r="D87" s="11">
        <v>31</v>
      </c>
      <c r="E87" s="11">
        <v>2092.8000000000002</v>
      </c>
      <c r="I87" t="str">
        <f t="shared" si="5"/>
        <v>California</v>
      </c>
      <c r="J87" t="str">
        <f t="shared" si="6"/>
        <v>Fresno County</v>
      </c>
      <c r="K87">
        <f t="shared" si="7"/>
        <v>279</v>
      </c>
      <c r="O87" t="str">
        <f t="shared" si="8"/>
        <v>California</v>
      </c>
      <c r="P87" t="str">
        <f t="shared" si="8"/>
        <v>Fresno County</v>
      </c>
      <c r="Q87">
        <f t="shared" si="9"/>
        <v>12662.500000000002</v>
      </c>
    </row>
    <row r="88" spans="2:17" x14ac:dyDescent="0.25">
      <c r="B88" t="s">
        <v>19</v>
      </c>
      <c r="C88" t="s">
        <v>28</v>
      </c>
      <c r="D88" s="11">
        <v>279</v>
      </c>
      <c r="E88" s="11">
        <v>12662.500000000002</v>
      </c>
      <c r="I88" t="str">
        <f t="shared" si="5"/>
        <v>California</v>
      </c>
      <c r="J88" t="str">
        <f t="shared" si="6"/>
        <v>Glenn County</v>
      </c>
      <c r="K88">
        <f t="shared" si="7"/>
        <v>9</v>
      </c>
      <c r="O88" t="str">
        <f t="shared" si="8"/>
        <v>California</v>
      </c>
      <c r="P88" t="str">
        <f t="shared" si="8"/>
        <v>Glenn County</v>
      </c>
      <c r="Q88">
        <f t="shared" si="9"/>
        <v>343.2</v>
      </c>
    </row>
    <row r="89" spans="2:17" x14ac:dyDescent="0.25">
      <c r="B89" t="s">
        <v>19</v>
      </c>
      <c r="C89" t="s">
        <v>208</v>
      </c>
      <c r="D89" s="11">
        <v>9</v>
      </c>
      <c r="E89" s="11">
        <v>343.2</v>
      </c>
      <c r="I89" t="str">
        <f t="shared" si="5"/>
        <v>California</v>
      </c>
      <c r="J89" t="str">
        <f t="shared" si="6"/>
        <v>Humboldt County</v>
      </c>
      <c r="K89">
        <f t="shared" si="7"/>
        <v>49</v>
      </c>
      <c r="O89" t="str">
        <f t="shared" si="8"/>
        <v>California</v>
      </c>
      <c r="P89" t="str">
        <f t="shared" si="8"/>
        <v>Humboldt County</v>
      </c>
      <c r="Q89">
        <f t="shared" si="9"/>
        <v>2188.2999999999997</v>
      </c>
    </row>
    <row r="90" spans="2:17" x14ac:dyDescent="0.25">
      <c r="B90" t="s">
        <v>19</v>
      </c>
      <c r="C90" t="s">
        <v>587</v>
      </c>
      <c r="D90" s="11">
        <v>49</v>
      </c>
      <c r="E90" s="11">
        <v>2188.2999999999997</v>
      </c>
      <c r="I90" t="str">
        <f t="shared" si="5"/>
        <v>California</v>
      </c>
      <c r="J90" t="str">
        <f t="shared" si="6"/>
        <v>Imperial County</v>
      </c>
      <c r="K90">
        <f t="shared" si="7"/>
        <v>59</v>
      </c>
      <c r="O90" t="str">
        <f t="shared" si="8"/>
        <v>California</v>
      </c>
      <c r="P90" t="str">
        <f t="shared" si="8"/>
        <v>Imperial County</v>
      </c>
      <c r="Q90">
        <f t="shared" si="9"/>
        <v>2661.5999999999995</v>
      </c>
    </row>
    <row r="91" spans="2:17" x14ac:dyDescent="0.25">
      <c r="B91" t="s">
        <v>19</v>
      </c>
      <c r="C91" t="s">
        <v>331</v>
      </c>
      <c r="D91" s="11">
        <v>59</v>
      </c>
      <c r="E91" s="11">
        <v>2661.5999999999995</v>
      </c>
      <c r="I91" t="str">
        <f t="shared" si="5"/>
        <v>California</v>
      </c>
      <c r="J91" t="str">
        <f t="shared" si="6"/>
        <v>Inyo County</v>
      </c>
      <c r="K91">
        <f t="shared" si="7"/>
        <v>8</v>
      </c>
      <c r="O91" t="str">
        <f t="shared" si="8"/>
        <v>California</v>
      </c>
      <c r="P91" t="str">
        <f t="shared" si="8"/>
        <v>Inyo County</v>
      </c>
      <c r="Q91">
        <f t="shared" si="9"/>
        <v>887.5</v>
      </c>
    </row>
    <row r="92" spans="2:17" x14ac:dyDescent="0.25">
      <c r="B92" t="s">
        <v>19</v>
      </c>
      <c r="C92" t="s">
        <v>86</v>
      </c>
      <c r="D92" s="11">
        <v>8</v>
      </c>
      <c r="E92" s="11">
        <v>887.5</v>
      </c>
      <c r="I92" t="str">
        <f t="shared" si="5"/>
        <v>California</v>
      </c>
      <c r="J92" t="str">
        <f t="shared" si="6"/>
        <v>Kern County</v>
      </c>
      <c r="K92">
        <f t="shared" si="7"/>
        <v>222</v>
      </c>
      <c r="O92" t="str">
        <f t="shared" si="8"/>
        <v>California</v>
      </c>
      <c r="P92" t="str">
        <f t="shared" si="8"/>
        <v>Kern County</v>
      </c>
      <c r="Q92">
        <f t="shared" si="9"/>
        <v>11354.199999999993</v>
      </c>
    </row>
    <row r="93" spans="2:17" x14ac:dyDescent="0.25">
      <c r="B93" t="s">
        <v>19</v>
      </c>
      <c r="C93" t="s">
        <v>147</v>
      </c>
      <c r="D93" s="11">
        <v>222</v>
      </c>
      <c r="E93" s="11">
        <v>11354.199999999993</v>
      </c>
      <c r="I93" t="str">
        <f t="shared" si="5"/>
        <v>California</v>
      </c>
      <c r="J93" t="str">
        <f t="shared" si="6"/>
        <v>Kings County</v>
      </c>
      <c r="K93">
        <f t="shared" si="7"/>
        <v>36</v>
      </c>
      <c r="O93" t="str">
        <f t="shared" si="8"/>
        <v>California</v>
      </c>
      <c r="P93" t="str">
        <f t="shared" si="8"/>
        <v>Kings County</v>
      </c>
      <c r="Q93">
        <f t="shared" si="9"/>
        <v>1558.4</v>
      </c>
    </row>
    <row r="94" spans="2:17" x14ac:dyDescent="0.25">
      <c r="B94" t="s">
        <v>19</v>
      </c>
      <c r="C94" t="s">
        <v>334</v>
      </c>
      <c r="D94" s="11">
        <v>36</v>
      </c>
      <c r="E94" s="11">
        <v>1558.4</v>
      </c>
      <c r="I94" t="str">
        <f t="shared" si="5"/>
        <v>California</v>
      </c>
      <c r="J94" t="str">
        <f t="shared" si="6"/>
        <v>Lake County</v>
      </c>
      <c r="K94">
        <f t="shared" si="7"/>
        <v>30</v>
      </c>
      <c r="O94" t="str">
        <f t="shared" si="8"/>
        <v>California</v>
      </c>
      <c r="P94" t="str">
        <f t="shared" si="8"/>
        <v>Lake County</v>
      </c>
      <c r="Q94">
        <f t="shared" si="9"/>
        <v>2223.9</v>
      </c>
    </row>
    <row r="95" spans="2:17" x14ac:dyDescent="0.25">
      <c r="B95" t="s">
        <v>19</v>
      </c>
      <c r="C95" t="s">
        <v>949</v>
      </c>
      <c r="D95" s="11">
        <v>30</v>
      </c>
      <c r="E95" s="11">
        <v>2223.9</v>
      </c>
      <c r="I95" t="str">
        <f t="shared" si="5"/>
        <v>California</v>
      </c>
      <c r="J95" t="str">
        <f t="shared" si="6"/>
        <v>Lassen County</v>
      </c>
      <c r="K95">
        <f t="shared" si="7"/>
        <v>1</v>
      </c>
      <c r="O95" t="str">
        <f t="shared" si="8"/>
        <v>California</v>
      </c>
      <c r="P95" t="str">
        <f t="shared" si="8"/>
        <v>Lassen County</v>
      </c>
      <c r="Q95">
        <f t="shared" si="9"/>
        <v>26.2</v>
      </c>
    </row>
    <row r="96" spans="2:17" x14ac:dyDescent="0.25">
      <c r="B96" t="s">
        <v>19</v>
      </c>
      <c r="C96" t="s">
        <v>1426</v>
      </c>
      <c r="D96" s="11">
        <v>1</v>
      </c>
      <c r="E96" s="11">
        <v>26.2</v>
      </c>
      <c r="I96" t="str">
        <f t="shared" si="5"/>
        <v>California</v>
      </c>
      <c r="J96" t="str">
        <f t="shared" si="6"/>
        <v>Los Angeles County</v>
      </c>
      <c r="K96">
        <f t="shared" si="7"/>
        <v>3991</v>
      </c>
      <c r="O96" t="str">
        <f t="shared" si="8"/>
        <v>California</v>
      </c>
      <c r="P96" t="str">
        <f t="shared" si="8"/>
        <v>Los Angeles County</v>
      </c>
      <c r="Q96">
        <f t="shared" si="9"/>
        <v>215551.19999999981</v>
      </c>
    </row>
    <row r="97" spans="2:17" x14ac:dyDescent="0.25">
      <c r="B97" t="s">
        <v>19</v>
      </c>
      <c r="C97" t="s">
        <v>33</v>
      </c>
      <c r="D97" s="11">
        <v>3991</v>
      </c>
      <c r="E97" s="11">
        <v>215551.19999999981</v>
      </c>
      <c r="I97" t="str">
        <f t="shared" si="5"/>
        <v>California</v>
      </c>
      <c r="J97" t="str">
        <f t="shared" si="6"/>
        <v>Madera County</v>
      </c>
      <c r="K97">
        <f t="shared" si="7"/>
        <v>45</v>
      </c>
      <c r="O97" t="str">
        <f t="shared" si="8"/>
        <v>California</v>
      </c>
      <c r="P97" t="str">
        <f t="shared" si="8"/>
        <v>Madera County</v>
      </c>
      <c r="Q97">
        <f t="shared" si="9"/>
        <v>2687.3999999999996</v>
      </c>
    </row>
    <row r="98" spans="2:17" x14ac:dyDescent="0.25">
      <c r="B98" t="s">
        <v>19</v>
      </c>
      <c r="C98" t="s">
        <v>364</v>
      </c>
      <c r="D98" s="11">
        <v>45</v>
      </c>
      <c r="E98" s="11">
        <v>2687.3999999999996</v>
      </c>
      <c r="I98" t="str">
        <f t="shared" si="5"/>
        <v>California</v>
      </c>
      <c r="J98" t="str">
        <f t="shared" si="6"/>
        <v>Marin County</v>
      </c>
      <c r="K98">
        <f t="shared" si="7"/>
        <v>39</v>
      </c>
      <c r="O98" t="str">
        <f t="shared" si="8"/>
        <v>California</v>
      </c>
      <c r="P98" t="str">
        <f t="shared" si="8"/>
        <v>Marin County</v>
      </c>
      <c r="Q98">
        <f t="shared" si="9"/>
        <v>1463.3000000000002</v>
      </c>
    </row>
    <row r="99" spans="2:17" x14ac:dyDescent="0.25">
      <c r="B99" t="s">
        <v>19</v>
      </c>
      <c r="C99" t="s">
        <v>545</v>
      </c>
      <c r="D99" s="11">
        <v>39</v>
      </c>
      <c r="E99" s="11">
        <v>1463.3000000000002</v>
      </c>
      <c r="I99" t="str">
        <f t="shared" si="5"/>
        <v>California</v>
      </c>
      <c r="J99" t="str">
        <f t="shared" si="6"/>
        <v>Mariposa County</v>
      </c>
      <c r="K99">
        <f t="shared" si="7"/>
        <v>6</v>
      </c>
      <c r="O99" t="str">
        <f t="shared" si="8"/>
        <v>California</v>
      </c>
      <c r="P99" t="str">
        <f t="shared" si="8"/>
        <v>Mariposa County</v>
      </c>
      <c r="Q99">
        <f t="shared" si="9"/>
        <v>445.79999999999995</v>
      </c>
    </row>
    <row r="100" spans="2:17" x14ac:dyDescent="0.25">
      <c r="B100" t="s">
        <v>19</v>
      </c>
      <c r="C100" t="s">
        <v>416</v>
      </c>
      <c r="D100" s="11">
        <v>6</v>
      </c>
      <c r="E100" s="11">
        <v>445.79999999999995</v>
      </c>
      <c r="I100" t="str">
        <f t="shared" si="5"/>
        <v>California</v>
      </c>
      <c r="J100" t="str">
        <f t="shared" si="6"/>
        <v>Mendocino County</v>
      </c>
      <c r="K100">
        <f t="shared" si="7"/>
        <v>9</v>
      </c>
      <c r="O100" t="str">
        <f t="shared" si="8"/>
        <v>California</v>
      </c>
      <c r="P100" t="str">
        <f t="shared" si="8"/>
        <v>Mendocino County</v>
      </c>
      <c r="Q100">
        <f t="shared" si="9"/>
        <v>273.59999999999997</v>
      </c>
    </row>
    <row r="101" spans="2:17" x14ac:dyDescent="0.25">
      <c r="B101" t="s">
        <v>19</v>
      </c>
      <c r="C101" t="s">
        <v>258</v>
      </c>
      <c r="D101" s="11">
        <v>9</v>
      </c>
      <c r="E101" s="11">
        <v>273.59999999999997</v>
      </c>
      <c r="I101" t="str">
        <f t="shared" si="5"/>
        <v>California</v>
      </c>
      <c r="J101" t="str">
        <f t="shared" si="6"/>
        <v>Merced County</v>
      </c>
      <c r="K101">
        <f t="shared" si="7"/>
        <v>60</v>
      </c>
      <c r="O101" t="str">
        <f t="shared" si="8"/>
        <v>California</v>
      </c>
      <c r="P101" t="str">
        <f t="shared" si="8"/>
        <v>Merced County</v>
      </c>
      <c r="Q101">
        <f t="shared" si="9"/>
        <v>2690.4</v>
      </c>
    </row>
    <row r="102" spans="2:17" x14ac:dyDescent="0.25">
      <c r="B102" t="s">
        <v>19</v>
      </c>
      <c r="C102" t="s">
        <v>186</v>
      </c>
      <c r="D102" s="11">
        <v>60</v>
      </c>
      <c r="E102" s="11">
        <v>2690.4</v>
      </c>
      <c r="I102" t="str">
        <f t="shared" si="5"/>
        <v>California</v>
      </c>
      <c r="J102" t="str">
        <f t="shared" si="6"/>
        <v>Modoc County</v>
      </c>
      <c r="K102">
        <f t="shared" si="7"/>
        <v>2</v>
      </c>
      <c r="O102" t="str">
        <f t="shared" si="8"/>
        <v>California</v>
      </c>
      <c r="P102" t="str">
        <f t="shared" si="8"/>
        <v>Modoc County</v>
      </c>
      <c r="Q102">
        <f t="shared" si="9"/>
        <v>28.4</v>
      </c>
    </row>
    <row r="103" spans="2:17" x14ac:dyDescent="0.25">
      <c r="B103" t="s">
        <v>19</v>
      </c>
      <c r="C103" t="s">
        <v>392</v>
      </c>
      <c r="D103" s="11">
        <v>2</v>
      </c>
      <c r="E103" s="11">
        <v>28.4</v>
      </c>
      <c r="I103" t="str">
        <f t="shared" si="5"/>
        <v>California</v>
      </c>
      <c r="J103" t="str">
        <f t="shared" si="6"/>
        <v>Mono County</v>
      </c>
      <c r="K103">
        <f t="shared" si="7"/>
        <v>4</v>
      </c>
      <c r="O103" t="str">
        <f t="shared" si="8"/>
        <v>California</v>
      </c>
      <c r="P103" t="str">
        <f t="shared" si="8"/>
        <v>Mono County</v>
      </c>
      <c r="Q103">
        <f t="shared" si="9"/>
        <v>204.8</v>
      </c>
    </row>
    <row r="104" spans="2:17" x14ac:dyDescent="0.25">
      <c r="B104" t="s">
        <v>19</v>
      </c>
      <c r="C104" t="s">
        <v>670</v>
      </c>
      <c r="D104" s="11">
        <v>4</v>
      </c>
      <c r="E104" s="11">
        <v>204.8</v>
      </c>
      <c r="I104" t="str">
        <f t="shared" si="5"/>
        <v>California</v>
      </c>
      <c r="J104" t="str">
        <f t="shared" si="6"/>
        <v>Monterey County</v>
      </c>
      <c r="K104">
        <f t="shared" si="7"/>
        <v>31</v>
      </c>
      <c r="O104" t="str">
        <f t="shared" si="8"/>
        <v>California</v>
      </c>
      <c r="P104" t="str">
        <f t="shared" si="8"/>
        <v>Monterey County</v>
      </c>
      <c r="Q104">
        <f t="shared" si="9"/>
        <v>1607.8999999999999</v>
      </c>
    </row>
    <row r="105" spans="2:17" x14ac:dyDescent="0.25">
      <c r="B105" t="s">
        <v>19</v>
      </c>
      <c r="C105" t="s">
        <v>802</v>
      </c>
      <c r="D105" s="11">
        <v>31</v>
      </c>
      <c r="E105" s="11">
        <v>1607.8999999999999</v>
      </c>
      <c r="I105" t="str">
        <f t="shared" si="5"/>
        <v>California</v>
      </c>
      <c r="J105" t="str">
        <f t="shared" si="6"/>
        <v>Napa County</v>
      </c>
      <c r="K105">
        <f t="shared" si="7"/>
        <v>88</v>
      </c>
      <c r="O105" t="str">
        <f t="shared" si="8"/>
        <v>California</v>
      </c>
      <c r="P105" t="str">
        <f t="shared" si="8"/>
        <v>Napa County</v>
      </c>
      <c r="Q105">
        <f t="shared" si="9"/>
        <v>6444.9</v>
      </c>
    </row>
    <row r="106" spans="2:17" x14ac:dyDescent="0.25">
      <c r="B106" t="s">
        <v>19</v>
      </c>
      <c r="C106" t="s">
        <v>98</v>
      </c>
      <c r="D106" s="11">
        <v>88</v>
      </c>
      <c r="E106" s="11">
        <v>6444.9</v>
      </c>
      <c r="I106" t="str">
        <f t="shared" si="5"/>
        <v>California</v>
      </c>
      <c r="J106" t="str">
        <f t="shared" si="6"/>
        <v>Nevada County</v>
      </c>
      <c r="K106">
        <f t="shared" si="7"/>
        <v>25</v>
      </c>
      <c r="O106" t="str">
        <f t="shared" si="8"/>
        <v>California</v>
      </c>
      <c r="P106" t="str">
        <f t="shared" si="8"/>
        <v>Nevada County</v>
      </c>
      <c r="Q106">
        <f t="shared" si="9"/>
        <v>1809.3</v>
      </c>
    </row>
    <row r="107" spans="2:17" x14ac:dyDescent="0.25">
      <c r="B107" t="s">
        <v>19</v>
      </c>
      <c r="C107" t="s">
        <v>49</v>
      </c>
      <c r="D107" s="11">
        <v>25</v>
      </c>
      <c r="E107" s="11">
        <v>1809.3</v>
      </c>
      <c r="I107" t="str">
        <f t="shared" si="5"/>
        <v>California</v>
      </c>
      <c r="J107" t="str">
        <f t="shared" si="6"/>
        <v>Orange County</v>
      </c>
      <c r="K107">
        <f t="shared" si="7"/>
        <v>178</v>
      </c>
      <c r="O107" t="str">
        <f t="shared" si="8"/>
        <v>California</v>
      </c>
      <c r="P107" t="str">
        <f t="shared" si="8"/>
        <v>Orange County</v>
      </c>
      <c r="Q107">
        <f t="shared" si="9"/>
        <v>9680.399999999996</v>
      </c>
    </row>
    <row r="108" spans="2:17" x14ac:dyDescent="0.25">
      <c r="B108" t="s">
        <v>19</v>
      </c>
      <c r="C108" t="s">
        <v>188</v>
      </c>
      <c r="D108" s="11">
        <v>178</v>
      </c>
      <c r="E108" s="11">
        <v>9680.399999999996</v>
      </c>
      <c r="I108" t="str">
        <f t="shared" si="5"/>
        <v>California</v>
      </c>
      <c r="J108" t="str">
        <f t="shared" si="6"/>
        <v>Placer County</v>
      </c>
      <c r="K108">
        <f t="shared" si="7"/>
        <v>141</v>
      </c>
      <c r="O108" t="str">
        <f t="shared" si="8"/>
        <v>California</v>
      </c>
      <c r="P108" t="str">
        <f t="shared" si="8"/>
        <v>Placer County</v>
      </c>
      <c r="Q108">
        <f t="shared" si="9"/>
        <v>9414.7999999999993</v>
      </c>
    </row>
    <row r="109" spans="2:17" x14ac:dyDescent="0.25">
      <c r="B109" t="s">
        <v>19</v>
      </c>
      <c r="C109" t="s">
        <v>52</v>
      </c>
      <c r="D109" s="11">
        <v>141</v>
      </c>
      <c r="E109" s="11">
        <v>9414.7999999999993</v>
      </c>
      <c r="I109" t="str">
        <f t="shared" si="5"/>
        <v>California</v>
      </c>
      <c r="J109" t="str">
        <f t="shared" si="6"/>
        <v>Plumas County</v>
      </c>
      <c r="K109">
        <f t="shared" si="7"/>
        <v>6</v>
      </c>
      <c r="O109" t="str">
        <f t="shared" si="8"/>
        <v>California</v>
      </c>
      <c r="P109" t="str">
        <f t="shared" si="8"/>
        <v>Plumas County</v>
      </c>
      <c r="Q109">
        <f t="shared" si="9"/>
        <v>206.1</v>
      </c>
    </row>
    <row r="110" spans="2:17" x14ac:dyDescent="0.25">
      <c r="B110" t="s">
        <v>19</v>
      </c>
      <c r="C110" t="s">
        <v>338</v>
      </c>
      <c r="D110" s="11">
        <v>6</v>
      </c>
      <c r="E110" s="11">
        <v>206.1</v>
      </c>
      <c r="I110" t="str">
        <f t="shared" si="5"/>
        <v>California</v>
      </c>
      <c r="J110" t="str">
        <f t="shared" si="6"/>
        <v>Riverside County</v>
      </c>
      <c r="K110">
        <f t="shared" si="7"/>
        <v>178</v>
      </c>
      <c r="O110" t="str">
        <f t="shared" si="8"/>
        <v>California</v>
      </c>
      <c r="P110" t="str">
        <f t="shared" si="8"/>
        <v>Riverside County</v>
      </c>
      <c r="Q110">
        <f t="shared" si="9"/>
        <v>7691.3</v>
      </c>
    </row>
    <row r="111" spans="2:17" x14ac:dyDescent="0.25">
      <c r="B111" t="s">
        <v>19</v>
      </c>
      <c r="C111" t="s">
        <v>158</v>
      </c>
      <c r="D111" s="11">
        <v>178</v>
      </c>
      <c r="E111" s="11">
        <v>7691.3</v>
      </c>
      <c r="I111" t="str">
        <f t="shared" si="5"/>
        <v>California</v>
      </c>
      <c r="J111" t="str">
        <f t="shared" si="6"/>
        <v>Sacramento County</v>
      </c>
      <c r="K111">
        <f t="shared" si="7"/>
        <v>699</v>
      </c>
      <c r="O111" t="str">
        <f t="shared" si="8"/>
        <v>California</v>
      </c>
      <c r="P111" t="str">
        <f t="shared" si="8"/>
        <v>Sacramento County</v>
      </c>
      <c r="Q111">
        <f t="shared" si="9"/>
        <v>37784.900000000016</v>
      </c>
    </row>
    <row r="112" spans="2:17" x14ac:dyDescent="0.25">
      <c r="B112" t="s">
        <v>19</v>
      </c>
      <c r="C112" t="s">
        <v>55</v>
      </c>
      <c r="D112" s="11">
        <v>699</v>
      </c>
      <c r="E112" s="11">
        <v>37784.900000000016</v>
      </c>
      <c r="I112" t="str">
        <f t="shared" si="5"/>
        <v>California</v>
      </c>
      <c r="J112" t="str">
        <f t="shared" si="6"/>
        <v>San Benito County</v>
      </c>
      <c r="K112">
        <f t="shared" si="7"/>
        <v>23</v>
      </c>
      <c r="O112" t="str">
        <f t="shared" si="8"/>
        <v>California</v>
      </c>
      <c r="P112" t="str">
        <f t="shared" si="8"/>
        <v>San Benito County</v>
      </c>
      <c r="Q112">
        <f t="shared" si="9"/>
        <v>1129.7</v>
      </c>
    </row>
    <row r="113" spans="2:17" x14ac:dyDescent="0.25">
      <c r="B113" t="s">
        <v>19</v>
      </c>
      <c r="C113" t="s">
        <v>342</v>
      </c>
      <c r="D113" s="11">
        <v>23</v>
      </c>
      <c r="E113" s="11">
        <v>1129.7</v>
      </c>
      <c r="I113" t="str">
        <f t="shared" si="5"/>
        <v>California</v>
      </c>
      <c r="J113" t="str">
        <f t="shared" si="6"/>
        <v>San Bernardino County</v>
      </c>
      <c r="K113">
        <f t="shared" si="7"/>
        <v>356</v>
      </c>
      <c r="O113" t="str">
        <f t="shared" si="8"/>
        <v>California</v>
      </c>
      <c r="P113" t="str">
        <f t="shared" si="8"/>
        <v>San Bernardino County</v>
      </c>
      <c r="Q113">
        <f t="shared" si="9"/>
        <v>20988.9</v>
      </c>
    </row>
    <row r="114" spans="2:17" x14ac:dyDescent="0.25">
      <c r="B114" t="s">
        <v>19</v>
      </c>
      <c r="C114" t="s">
        <v>59</v>
      </c>
      <c r="D114" s="11">
        <v>356</v>
      </c>
      <c r="E114" s="11">
        <v>20988.9</v>
      </c>
      <c r="I114" t="str">
        <f t="shared" si="5"/>
        <v>California</v>
      </c>
      <c r="J114" t="str">
        <f t="shared" si="6"/>
        <v>San Diego County</v>
      </c>
      <c r="K114">
        <f t="shared" si="7"/>
        <v>1768</v>
      </c>
      <c r="O114" t="str">
        <f t="shared" si="8"/>
        <v>California</v>
      </c>
      <c r="P114" t="str">
        <f t="shared" si="8"/>
        <v>San Diego County</v>
      </c>
      <c r="Q114">
        <f t="shared" si="9"/>
        <v>98367.099999999977</v>
      </c>
    </row>
    <row r="115" spans="2:17" x14ac:dyDescent="0.25">
      <c r="B115" t="s">
        <v>19</v>
      </c>
      <c r="C115" t="s">
        <v>62</v>
      </c>
      <c r="D115" s="11">
        <v>1768</v>
      </c>
      <c r="E115" s="11">
        <v>98367.099999999977</v>
      </c>
      <c r="I115" t="str">
        <f t="shared" si="5"/>
        <v>California</v>
      </c>
      <c r="J115" t="str">
        <f t="shared" si="6"/>
        <v>San Francisco</v>
      </c>
      <c r="K115">
        <f t="shared" si="7"/>
        <v>307</v>
      </c>
      <c r="O115" t="str">
        <f t="shared" si="8"/>
        <v>California</v>
      </c>
      <c r="P115" t="str">
        <f t="shared" si="8"/>
        <v>San Francisco</v>
      </c>
      <c r="Q115">
        <f t="shared" si="9"/>
        <v>21911.9</v>
      </c>
    </row>
    <row r="116" spans="2:17" x14ac:dyDescent="0.25">
      <c r="B116" t="s">
        <v>19</v>
      </c>
      <c r="C116" t="s">
        <v>103</v>
      </c>
      <c r="D116" s="11">
        <v>307</v>
      </c>
      <c r="E116" s="11">
        <v>21911.9</v>
      </c>
      <c r="I116" t="str">
        <f t="shared" si="5"/>
        <v>California</v>
      </c>
      <c r="J116" t="str">
        <f t="shared" si="6"/>
        <v>San Joaquin County</v>
      </c>
      <c r="K116">
        <f t="shared" si="7"/>
        <v>117</v>
      </c>
      <c r="O116" t="str">
        <f t="shared" si="8"/>
        <v>California</v>
      </c>
      <c r="P116" t="str">
        <f t="shared" si="8"/>
        <v>San Joaquin County</v>
      </c>
      <c r="Q116">
        <f t="shared" si="9"/>
        <v>5441.2</v>
      </c>
    </row>
    <row r="117" spans="2:17" x14ac:dyDescent="0.25">
      <c r="B117" t="s">
        <v>19</v>
      </c>
      <c r="C117" t="s">
        <v>201</v>
      </c>
      <c r="D117" s="11">
        <v>117</v>
      </c>
      <c r="E117" s="11">
        <v>5441.2</v>
      </c>
      <c r="I117" t="str">
        <f t="shared" si="5"/>
        <v>California</v>
      </c>
      <c r="J117" t="str">
        <f t="shared" si="6"/>
        <v>San Luis Obispo County</v>
      </c>
      <c r="K117">
        <f t="shared" si="7"/>
        <v>13</v>
      </c>
      <c r="O117" t="str">
        <f t="shared" si="8"/>
        <v>California</v>
      </c>
      <c r="P117" t="str">
        <f t="shared" si="8"/>
        <v>San Luis Obispo County</v>
      </c>
      <c r="Q117">
        <f t="shared" si="9"/>
        <v>392.8</v>
      </c>
    </row>
    <row r="118" spans="2:17" x14ac:dyDescent="0.25">
      <c r="B118" t="s">
        <v>19</v>
      </c>
      <c r="C118" t="s">
        <v>429</v>
      </c>
      <c r="D118" s="11">
        <v>13</v>
      </c>
      <c r="E118" s="11">
        <v>392.8</v>
      </c>
      <c r="I118" t="str">
        <f t="shared" si="5"/>
        <v>California</v>
      </c>
      <c r="J118" t="str">
        <f t="shared" si="6"/>
        <v>San Mateo County</v>
      </c>
      <c r="K118">
        <f t="shared" si="7"/>
        <v>364</v>
      </c>
      <c r="O118" t="str">
        <f t="shared" si="8"/>
        <v>California</v>
      </c>
      <c r="P118" t="str">
        <f t="shared" si="8"/>
        <v>San Mateo County</v>
      </c>
      <c r="Q118">
        <f t="shared" si="9"/>
        <v>16172.000000000005</v>
      </c>
    </row>
    <row r="119" spans="2:17" x14ac:dyDescent="0.25">
      <c r="B119" t="s">
        <v>19</v>
      </c>
      <c r="C119" t="s">
        <v>72</v>
      </c>
      <c r="D119" s="11">
        <v>364</v>
      </c>
      <c r="E119" s="11">
        <v>16172.000000000005</v>
      </c>
      <c r="I119" t="str">
        <f t="shared" si="5"/>
        <v>California</v>
      </c>
      <c r="J119" t="str">
        <f t="shared" si="6"/>
        <v>Santa Barbara County</v>
      </c>
      <c r="K119">
        <f t="shared" si="7"/>
        <v>95</v>
      </c>
      <c r="O119" t="str">
        <f t="shared" si="8"/>
        <v>California</v>
      </c>
      <c r="P119" t="str">
        <f t="shared" si="8"/>
        <v>Santa Barbara County</v>
      </c>
      <c r="Q119">
        <f t="shared" si="9"/>
        <v>4334.9999999999991</v>
      </c>
    </row>
    <row r="120" spans="2:17" x14ac:dyDescent="0.25">
      <c r="B120" t="s">
        <v>19</v>
      </c>
      <c r="C120" t="s">
        <v>74</v>
      </c>
      <c r="D120" s="11">
        <v>95</v>
      </c>
      <c r="E120" s="11">
        <v>4334.9999999999991</v>
      </c>
      <c r="I120" t="str">
        <f t="shared" si="5"/>
        <v>California</v>
      </c>
      <c r="J120" t="str">
        <f t="shared" si="6"/>
        <v>Santa Clara County</v>
      </c>
      <c r="K120">
        <f t="shared" si="7"/>
        <v>737</v>
      </c>
      <c r="O120" t="str">
        <f t="shared" si="8"/>
        <v>California</v>
      </c>
      <c r="P120" t="str">
        <f t="shared" si="8"/>
        <v>Santa Clara County</v>
      </c>
      <c r="Q120">
        <f t="shared" si="9"/>
        <v>37449.000000000007</v>
      </c>
    </row>
    <row r="121" spans="2:17" x14ac:dyDescent="0.25">
      <c r="B121" t="s">
        <v>19</v>
      </c>
      <c r="C121" t="s">
        <v>77</v>
      </c>
      <c r="D121" s="11">
        <v>737</v>
      </c>
      <c r="E121" s="11">
        <v>37449.000000000007</v>
      </c>
      <c r="I121" t="str">
        <f t="shared" si="5"/>
        <v>California</v>
      </c>
      <c r="J121" t="str">
        <f t="shared" si="6"/>
        <v>Santa Cruz County</v>
      </c>
      <c r="K121">
        <f t="shared" si="7"/>
        <v>39</v>
      </c>
      <c r="O121" t="str">
        <f t="shared" si="8"/>
        <v>California</v>
      </c>
      <c r="P121" t="str">
        <f t="shared" si="8"/>
        <v>Santa Cruz County</v>
      </c>
      <c r="Q121">
        <f t="shared" si="9"/>
        <v>2447.5</v>
      </c>
    </row>
    <row r="122" spans="2:17" x14ac:dyDescent="0.25">
      <c r="B122" t="s">
        <v>19</v>
      </c>
      <c r="C122" t="s">
        <v>309</v>
      </c>
      <c r="D122" s="11">
        <v>39</v>
      </c>
      <c r="E122" s="11">
        <v>2447.5</v>
      </c>
      <c r="I122" t="str">
        <f t="shared" si="5"/>
        <v>California</v>
      </c>
      <c r="J122" t="str">
        <f t="shared" si="6"/>
        <v>Shasta County</v>
      </c>
      <c r="K122">
        <f t="shared" si="7"/>
        <v>56</v>
      </c>
      <c r="O122" t="str">
        <f t="shared" si="8"/>
        <v>California</v>
      </c>
      <c r="P122" t="str">
        <f t="shared" si="8"/>
        <v>Shasta County</v>
      </c>
      <c r="Q122">
        <f t="shared" si="9"/>
        <v>3391.1</v>
      </c>
    </row>
    <row r="123" spans="2:17" x14ac:dyDescent="0.25">
      <c r="B123" t="s">
        <v>19</v>
      </c>
      <c r="C123" t="s">
        <v>1116</v>
      </c>
      <c r="D123" s="11">
        <v>56</v>
      </c>
      <c r="E123" s="11">
        <v>3391.1</v>
      </c>
      <c r="I123" t="str">
        <f t="shared" si="5"/>
        <v>California</v>
      </c>
      <c r="J123" t="str">
        <f t="shared" si="6"/>
        <v>Sierra County</v>
      </c>
      <c r="K123">
        <f t="shared" si="7"/>
        <v>2</v>
      </c>
      <c r="O123" t="str">
        <f t="shared" si="8"/>
        <v>California</v>
      </c>
      <c r="P123" t="str">
        <f t="shared" si="8"/>
        <v>Sierra County</v>
      </c>
      <c r="Q123">
        <f t="shared" si="9"/>
        <v>30.8</v>
      </c>
    </row>
    <row r="124" spans="2:17" x14ac:dyDescent="0.25">
      <c r="B124" t="s">
        <v>19</v>
      </c>
      <c r="C124" t="s">
        <v>700</v>
      </c>
      <c r="D124" s="11">
        <v>2</v>
      </c>
      <c r="E124" s="11">
        <v>30.8</v>
      </c>
      <c r="I124" t="str">
        <f t="shared" si="5"/>
        <v>California</v>
      </c>
      <c r="J124" t="str">
        <f t="shared" si="6"/>
        <v>Siskiyou County</v>
      </c>
      <c r="K124">
        <f t="shared" si="7"/>
        <v>8</v>
      </c>
      <c r="O124" t="str">
        <f t="shared" si="8"/>
        <v>California</v>
      </c>
      <c r="P124" t="str">
        <f t="shared" si="8"/>
        <v>Siskiyou County</v>
      </c>
      <c r="Q124">
        <f t="shared" si="9"/>
        <v>332.3</v>
      </c>
    </row>
    <row r="125" spans="2:17" x14ac:dyDescent="0.25">
      <c r="B125" t="s">
        <v>19</v>
      </c>
      <c r="C125" t="s">
        <v>268</v>
      </c>
      <c r="D125" s="11">
        <v>8</v>
      </c>
      <c r="E125" s="11">
        <v>332.3</v>
      </c>
      <c r="I125" t="str">
        <f t="shared" si="5"/>
        <v>California</v>
      </c>
      <c r="J125" t="str">
        <f t="shared" si="6"/>
        <v>Solano County</v>
      </c>
      <c r="K125">
        <f t="shared" si="7"/>
        <v>52</v>
      </c>
      <c r="O125" t="str">
        <f t="shared" si="8"/>
        <v>California</v>
      </c>
      <c r="P125" t="str">
        <f t="shared" si="8"/>
        <v>Solano County</v>
      </c>
      <c r="Q125">
        <f t="shared" si="9"/>
        <v>3175.9999999999995</v>
      </c>
    </row>
    <row r="126" spans="2:17" x14ac:dyDescent="0.25">
      <c r="B126" t="s">
        <v>19</v>
      </c>
      <c r="C126" t="s">
        <v>377</v>
      </c>
      <c r="D126" s="11">
        <v>52</v>
      </c>
      <c r="E126" s="11">
        <v>3175.9999999999995</v>
      </c>
      <c r="I126" t="str">
        <f t="shared" si="5"/>
        <v>California</v>
      </c>
      <c r="J126" t="str">
        <f t="shared" si="6"/>
        <v>Sonoma County</v>
      </c>
      <c r="K126">
        <f t="shared" si="7"/>
        <v>295</v>
      </c>
      <c r="O126" t="str">
        <f t="shared" si="8"/>
        <v>California</v>
      </c>
      <c r="P126" t="str">
        <f t="shared" si="8"/>
        <v>Sonoma County</v>
      </c>
      <c r="Q126">
        <f t="shared" si="9"/>
        <v>20939.600000000002</v>
      </c>
    </row>
    <row r="127" spans="2:17" x14ac:dyDescent="0.25">
      <c r="B127" t="s">
        <v>19</v>
      </c>
      <c r="C127" t="s">
        <v>108</v>
      </c>
      <c r="D127" s="11">
        <v>295</v>
      </c>
      <c r="E127" s="11">
        <v>20939.600000000002</v>
      </c>
      <c r="I127" t="str">
        <f t="shared" si="5"/>
        <v>California</v>
      </c>
      <c r="J127" t="str">
        <f t="shared" si="6"/>
        <v>Stanislaus County</v>
      </c>
      <c r="K127">
        <f t="shared" si="7"/>
        <v>195</v>
      </c>
      <c r="O127" t="str">
        <f t="shared" si="8"/>
        <v>California</v>
      </c>
      <c r="P127" t="str">
        <f t="shared" si="8"/>
        <v>Stanislaus County</v>
      </c>
      <c r="Q127">
        <f t="shared" si="9"/>
        <v>10185.899999999996</v>
      </c>
    </row>
    <row r="128" spans="2:17" x14ac:dyDescent="0.25">
      <c r="B128" t="s">
        <v>19</v>
      </c>
      <c r="C128" t="s">
        <v>110</v>
      </c>
      <c r="D128" s="11">
        <v>195</v>
      </c>
      <c r="E128" s="11">
        <v>10185.899999999996</v>
      </c>
      <c r="I128" t="str">
        <f t="shared" si="5"/>
        <v>California</v>
      </c>
      <c r="J128" t="str">
        <f t="shared" si="6"/>
        <v>Sutter County</v>
      </c>
      <c r="K128">
        <f t="shared" si="7"/>
        <v>20</v>
      </c>
      <c r="O128" t="str">
        <f t="shared" si="8"/>
        <v>California</v>
      </c>
      <c r="P128" t="str">
        <f t="shared" si="8"/>
        <v>Sutter County</v>
      </c>
      <c r="Q128">
        <f t="shared" si="9"/>
        <v>958.7</v>
      </c>
    </row>
    <row r="129" spans="2:17" x14ac:dyDescent="0.25">
      <c r="B129" t="s">
        <v>19</v>
      </c>
      <c r="C129" t="s">
        <v>292</v>
      </c>
      <c r="D129" s="11">
        <v>20</v>
      </c>
      <c r="E129" s="11">
        <v>958.7</v>
      </c>
      <c r="I129" t="str">
        <f t="shared" si="5"/>
        <v>California</v>
      </c>
      <c r="J129" t="str">
        <f t="shared" si="6"/>
        <v>Tehama County</v>
      </c>
      <c r="K129">
        <f t="shared" si="7"/>
        <v>6</v>
      </c>
      <c r="O129" t="str">
        <f t="shared" si="8"/>
        <v>California</v>
      </c>
      <c r="P129" t="str">
        <f t="shared" si="8"/>
        <v>Tehama County</v>
      </c>
      <c r="Q129">
        <f t="shared" si="9"/>
        <v>323</v>
      </c>
    </row>
    <row r="130" spans="2:17" x14ac:dyDescent="0.25">
      <c r="B130" t="s">
        <v>19</v>
      </c>
      <c r="C130" t="s">
        <v>79</v>
      </c>
      <c r="D130" s="11">
        <v>6</v>
      </c>
      <c r="E130" s="11">
        <v>323</v>
      </c>
      <c r="I130" t="str">
        <f t="shared" si="5"/>
        <v>California</v>
      </c>
      <c r="J130" t="str">
        <f t="shared" si="6"/>
        <v>Trinity County</v>
      </c>
      <c r="K130">
        <f t="shared" si="7"/>
        <v>5</v>
      </c>
      <c r="O130" t="str">
        <f t="shared" si="8"/>
        <v>California</v>
      </c>
      <c r="P130" t="str">
        <f t="shared" si="8"/>
        <v>Trinity County</v>
      </c>
      <c r="Q130">
        <f t="shared" si="9"/>
        <v>167.70000000000002</v>
      </c>
    </row>
    <row r="131" spans="2:17" x14ac:dyDescent="0.25">
      <c r="B131" t="s">
        <v>19</v>
      </c>
      <c r="C131" t="s">
        <v>608</v>
      </c>
      <c r="D131" s="11">
        <v>5</v>
      </c>
      <c r="E131" s="11">
        <v>167.70000000000002</v>
      </c>
      <c r="I131" t="str">
        <f t="shared" si="5"/>
        <v>California</v>
      </c>
      <c r="J131" t="str">
        <f t="shared" si="6"/>
        <v>Tulare County</v>
      </c>
      <c r="K131">
        <f t="shared" si="7"/>
        <v>94</v>
      </c>
      <c r="O131" t="str">
        <f t="shared" si="8"/>
        <v>California</v>
      </c>
      <c r="P131" t="str">
        <f t="shared" si="8"/>
        <v>Tulare County</v>
      </c>
      <c r="Q131">
        <f t="shared" si="9"/>
        <v>3978.5</v>
      </c>
    </row>
    <row r="132" spans="2:17" x14ac:dyDescent="0.25">
      <c r="B132" t="s">
        <v>19</v>
      </c>
      <c r="C132" t="s">
        <v>113</v>
      </c>
      <c r="D132" s="11">
        <v>94</v>
      </c>
      <c r="E132" s="11">
        <v>3978.5</v>
      </c>
      <c r="I132" t="str">
        <f t="shared" si="5"/>
        <v>California</v>
      </c>
      <c r="J132" t="str">
        <f t="shared" si="6"/>
        <v>Tuolumne County</v>
      </c>
      <c r="K132">
        <f t="shared" si="7"/>
        <v>28</v>
      </c>
      <c r="O132" t="str">
        <f t="shared" si="8"/>
        <v>California</v>
      </c>
      <c r="P132" t="str">
        <f t="shared" si="8"/>
        <v>Tuolumne County</v>
      </c>
      <c r="Q132">
        <f t="shared" si="9"/>
        <v>1405</v>
      </c>
    </row>
    <row r="133" spans="2:17" x14ac:dyDescent="0.25">
      <c r="B133" t="s">
        <v>19</v>
      </c>
      <c r="C133" t="s">
        <v>997</v>
      </c>
      <c r="D133" s="11">
        <v>28</v>
      </c>
      <c r="E133" s="11">
        <v>1405</v>
      </c>
      <c r="I133" t="str">
        <f t="shared" si="5"/>
        <v>California</v>
      </c>
      <c r="J133" t="str">
        <f t="shared" si="6"/>
        <v>Ventura County</v>
      </c>
      <c r="K133">
        <f t="shared" si="7"/>
        <v>179</v>
      </c>
      <c r="O133" t="str">
        <f t="shared" si="8"/>
        <v>California</v>
      </c>
      <c r="P133" t="str">
        <f t="shared" si="8"/>
        <v>Ventura County</v>
      </c>
      <c r="Q133">
        <f t="shared" si="9"/>
        <v>9869.0999999999985</v>
      </c>
    </row>
    <row r="134" spans="2:17" x14ac:dyDescent="0.25">
      <c r="B134" t="s">
        <v>19</v>
      </c>
      <c r="C134" t="s">
        <v>82</v>
      </c>
      <c r="D134" s="11">
        <v>179</v>
      </c>
      <c r="E134" s="11">
        <v>9869.0999999999985</v>
      </c>
      <c r="I134" t="str">
        <f t="shared" si="5"/>
        <v>California</v>
      </c>
      <c r="J134" t="str">
        <f t="shared" si="6"/>
        <v>Yolo County</v>
      </c>
      <c r="K134">
        <f t="shared" si="7"/>
        <v>15</v>
      </c>
      <c r="O134" t="str">
        <f t="shared" si="8"/>
        <v>California</v>
      </c>
      <c r="P134" t="str">
        <f t="shared" si="8"/>
        <v>Yolo County</v>
      </c>
      <c r="Q134">
        <f t="shared" si="9"/>
        <v>615.29999999999995</v>
      </c>
    </row>
    <row r="135" spans="2:17" x14ac:dyDescent="0.25">
      <c r="B135" t="s">
        <v>19</v>
      </c>
      <c r="C135" t="s">
        <v>243</v>
      </c>
      <c r="D135" s="11">
        <v>15</v>
      </c>
      <c r="E135" s="11">
        <v>615.29999999999995</v>
      </c>
      <c r="I135" t="str">
        <f>IF(B136="","",B136)</f>
        <v>California</v>
      </c>
      <c r="J135" t="str">
        <f>IF(C136="","",C136)</f>
        <v>Yuba County</v>
      </c>
      <c r="K135">
        <f t="shared" si="7"/>
        <v>3</v>
      </c>
      <c r="O135" t="str">
        <f t="shared" si="8"/>
        <v>California</v>
      </c>
      <c r="P135" t="str">
        <f t="shared" si="8"/>
        <v>Yuba County</v>
      </c>
      <c r="Q135">
        <f t="shared" si="9"/>
        <v>285</v>
      </c>
    </row>
    <row r="136" spans="2:17" x14ac:dyDescent="0.25">
      <c r="B136" t="s">
        <v>19</v>
      </c>
      <c r="C136" t="s">
        <v>1911</v>
      </c>
      <c r="D136" s="11">
        <v>3</v>
      </c>
      <c r="E136" s="11">
        <v>285</v>
      </c>
      <c r="K136" t="str">
        <f t="shared" si="7"/>
        <v/>
      </c>
      <c r="Q136" t="str">
        <f t="shared" si="9"/>
        <v/>
      </c>
    </row>
    <row r="137" spans="2:17" x14ac:dyDescent="0.25">
      <c r="K137" t="str">
        <f t="shared" si="7"/>
        <v/>
      </c>
    </row>
    <row r="139" spans="2:17" x14ac:dyDescent="0.25">
      <c r="B139" t="s">
        <v>2543</v>
      </c>
    </row>
    <row r="141" spans="2:17" x14ac:dyDescent="0.25">
      <c r="B141" s="6" t="s">
        <v>2530</v>
      </c>
      <c r="C141" t="s">
        <v>2518</v>
      </c>
    </row>
    <row r="142" spans="2:17" x14ac:dyDescent="0.25">
      <c r="B142" s="5">
        <v>0</v>
      </c>
      <c r="C142" s="11">
        <v>175</v>
      </c>
    </row>
    <row r="143" spans="2:17" x14ac:dyDescent="0.25">
      <c r="B143" s="5">
        <v>1</v>
      </c>
      <c r="C143" s="11">
        <v>888</v>
      </c>
    </row>
    <row r="144" spans="2:17" x14ac:dyDescent="0.25">
      <c r="B144" s="5">
        <v>2</v>
      </c>
      <c r="C144" s="11">
        <v>538</v>
      </c>
    </row>
    <row r="145" spans="2:3" x14ac:dyDescent="0.25">
      <c r="B145" s="5">
        <v>3</v>
      </c>
      <c r="C145" s="11">
        <v>344</v>
      </c>
    </row>
    <row r="146" spans="2:3" x14ac:dyDescent="0.25">
      <c r="B146" s="5">
        <v>4</v>
      </c>
      <c r="C146" s="11">
        <v>200</v>
      </c>
    </row>
    <row r="147" spans="2:3" x14ac:dyDescent="0.25">
      <c r="B147" s="5">
        <v>5</v>
      </c>
      <c r="C147" s="11">
        <v>94</v>
      </c>
    </row>
    <row r="148" spans="2:3" x14ac:dyDescent="0.25">
      <c r="B148" s="5">
        <v>6</v>
      </c>
      <c r="C148" s="11">
        <v>51</v>
      </c>
    </row>
    <row r="149" spans="2:3" x14ac:dyDescent="0.25">
      <c r="B149" s="5">
        <v>7</v>
      </c>
      <c r="C149" s="11">
        <v>32</v>
      </c>
    </row>
    <row r="150" spans="2:3" x14ac:dyDescent="0.25">
      <c r="B150" s="5">
        <v>8</v>
      </c>
      <c r="C150" s="11">
        <v>23</v>
      </c>
    </row>
    <row r="151" spans="2:3" x14ac:dyDescent="0.25">
      <c r="B151" s="5">
        <v>9</v>
      </c>
      <c r="C151" s="11">
        <v>9</v>
      </c>
    </row>
    <row r="152" spans="2:3" x14ac:dyDescent="0.25">
      <c r="B152" s="5">
        <v>10</v>
      </c>
      <c r="C152" s="11">
        <v>8</v>
      </c>
    </row>
    <row r="153" spans="2:3" x14ac:dyDescent="0.25">
      <c r="B153" s="5">
        <v>11</v>
      </c>
      <c r="C153" s="11">
        <v>11</v>
      </c>
    </row>
    <row r="154" spans="2:3" x14ac:dyDescent="0.25">
      <c r="B154" s="5">
        <v>12</v>
      </c>
      <c r="C154" s="11">
        <v>4</v>
      </c>
    </row>
    <row r="155" spans="2:3" x14ac:dyDescent="0.25">
      <c r="B155" s="5">
        <v>13</v>
      </c>
      <c r="C155" s="11">
        <v>10</v>
      </c>
    </row>
    <row r="156" spans="2:3" x14ac:dyDescent="0.25">
      <c r="B156" s="5">
        <v>14</v>
      </c>
      <c r="C156" s="11">
        <v>13</v>
      </c>
    </row>
    <row r="157" spans="2:3" x14ac:dyDescent="0.25">
      <c r="B157" s="5" t="s">
        <v>2528</v>
      </c>
      <c r="C157" s="11">
        <v>2400</v>
      </c>
    </row>
    <row r="160" spans="2:3" x14ac:dyDescent="0.25">
      <c r="B160" t="s">
        <v>2544</v>
      </c>
    </row>
    <row r="162" spans="2:8" x14ac:dyDescent="0.25">
      <c r="B162" s="6" t="s">
        <v>2518</v>
      </c>
      <c r="C162" s="6" t="s">
        <v>2531</v>
      </c>
    </row>
    <row r="163" spans="2:8" x14ac:dyDescent="0.25">
      <c r="B163" s="6" t="s">
        <v>2530</v>
      </c>
      <c r="C163">
        <v>1</v>
      </c>
      <c r="D163">
        <v>2</v>
      </c>
      <c r="E163">
        <v>3</v>
      </c>
      <c r="F163">
        <v>4</v>
      </c>
      <c r="G163">
        <v>5</v>
      </c>
      <c r="H163" t="s">
        <v>2528</v>
      </c>
    </row>
    <row r="164" spans="2:8" x14ac:dyDescent="0.25">
      <c r="B164" s="5" t="s">
        <v>2545</v>
      </c>
      <c r="C164" s="11">
        <v>7</v>
      </c>
      <c r="D164" s="11">
        <v>37</v>
      </c>
      <c r="E164" s="11">
        <v>150</v>
      </c>
      <c r="F164" s="11">
        <v>312</v>
      </c>
      <c r="G164" s="11">
        <v>224</v>
      </c>
      <c r="H164" s="11">
        <v>730</v>
      </c>
    </row>
    <row r="165" spans="2:8" x14ac:dyDescent="0.25">
      <c r="B165" s="5" t="s">
        <v>2546</v>
      </c>
      <c r="C165" s="11">
        <v>8</v>
      </c>
      <c r="D165" s="11">
        <v>51</v>
      </c>
      <c r="E165" s="11">
        <v>182</v>
      </c>
      <c r="F165" s="11">
        <v>373</v>
      </c>
      <c r="G165" s="11">
        <v>247</v>
      </c>
      <c r="H165" s="11">
        <v>861</v>
      </c>
    </row>
    <row r="166" spans="2:8" x14ac:dyDescent="0.25">
      <c r="B166" s="5" t="s">
        <v>2547</v>
      </c>
      <c r="C166" s="11">
        <v>6</v>
      </c>
      <c r="D166" s="11">
        <v>39</v>
      </c>
      <c r="E166" s="11">
        <v>163</v>
      </c>
      <c r="F166" s="11">
        <v>351</v>
      </c>
      <c r="G166" s="11">
        <v>250</v>
      </c>
      <c r="H166" s="11">
        <v>809</v>
      </c>
    </row>
    <row r="167" spans="2:8" x14ac:dyDescent="0.25">
      <c r="B167" s="5" t="s">
        <v>2528</v>
      </c>
      <c r="C167" s="11">
        <v>21</v>
      </c>
      <c r="D167" s="11">
        <v>127</v>
      </c>
      <c r="E167" s="11">
        <v>495</v>
      </c>
      <c r="F167" s="11">
        <v>1036</v>
      </c>
      <c r="G167" s="11">
        <v>721</v>
      </c>
      <c r="H167" s="11">
        <v>2400</v>
      </c>
    </row>
  </sheetData>
  <conditionalFormatting sqref="J28:M33">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10"/>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E6" sqref="E6"/>
    </sheetView>
  </sheetViews>
  <sheetFormatPr defaultRowHeight="13.5" x14ac:dyDescent="0.25"/>
  <cols>
    <col min="2" max="2" width="19" customWidth="1"/>
    <col min="3" max="3" width="8" customWidth="1"/>
    <col min="4" max="4" width="9" customWidth="1"/>
    <col min="5" max="5" width="7.4140625" customWidth="1"/>
    <col min="6" max="6" width="9.9140625" customWidth="1"/>
    <col min="7" max="7" width="9.4140625" customWidth="1"/>
    <col min="8" max="8" width="15.58203125" customWidth="1"/>
    <col min="9" max="9" width="10.58203125" customWidth="1"/>
    <col min="10" max="10" width="7.75" customWidth="1"/>
    <col min="11" max="11" width="8.75" customWidth="1"/>
    <col min="12" max="12" width="19.58203125" customWidth="1"/>
    <col min="13" max="13" width="13.33203125" customWidth="1"/>
    <col min="14" max="14" width="9.33203125" customWidth="1"/>
    <col min="15" max="15" width="12"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topLeftCell="A10" workbookViewId="0">
      <selection activeCell="B11" sqref="B11"/>
    </sheetView>
  </sheetViews>
  <sheetFormatPr defaultRowHeight="13.5" x14ac:dyDescent="0.25"/>
  <cols>
    <col min="1" max="1" width="3.33203125" customWidth="1"/>
    <col min="2" max="2" width="52.75" customWidth="1"/>
  </cols>
  <sheetData>
    <row r="2" spans="2:2" ht="14" x14ac:dyDescent="0.3">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ht="14" x14ac:dyDescent="0.3">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showGridLines="0" zoomScale="65" workbookViewId="0">
      <selection activeCell="G45" sqref="G45"/>
    </sheetView>
  </sheetViews>
  <sheetFormatPr defaultRowHeight="13.5" x14ac:dyDescent="0.25"/>
  <cols>
    <col min="1" max="1" width="3.33203125" customWidth="1"/>
    <col min="2" max="2" width="20.33203125" customWidth="1"/>
    <col min="3" max="4" width="3.08203125" customWidth="1"/>
    <col min="5" max="25" width="8"/>
    <col min="26" max="26" width="3.08203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Data</vt:lpstr>
      <vt:lpstr>Questions &amp; 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Harsha Bangera</cp:lastModifiedBy>
  <dcterms:created xsi:type="dcterms:W3CDTF">2025-06-13T02:42:26Z</dcterms:created>
  <dcterms:modified xsi:type="dcterms:W3CDTF">2026-04-26T06:55:40Z</dcterms:modified>
</cp:coreProperties>
</file>